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EstaPastaDeTrabalho"/>
  <bookViews>
    <workbookView visibility="visible" minimized="0" showHorizontalScroll="1" showVerticalScroll="1" showSheetTabs="1" xWindow="28680" yWindow="-120" windowWidth="20730" windowHeight="11160" tabRatio="600" firstSheet="0" activeTab="2" autoFilterDateGrouping="1"/>
  </bookViews>
  <sheets>
    <sheet xmlns:r="http://schemas.openxmlformats.org/officeDocument/2006/relationships" name="Maio" sheetId="1" state="visible" r:id="rId1"/>
    <sheet xmlns:r="http://schemas.openxmlformats.org/officeDocument/2006/relationships" name="Junho" sheetId="2" state="visible" r:id="rId2"/>
    <sheet xmlns:r="http://schemas.openxmlformats.org/officeDocument/2006/relationships" name="Julho" sheetId="3" state="visible" r:id="rId3"/>
  </sheets>
  <definedNames/>
  <calcPr calcId="191029" fullCalcOnLoad="1"/>
</workbook>
</file>

<file path=xl/styles.xml><?xml version="1.0" encoding="utf-8"?>
<styleSheet xmlns="http://schemas.openxmlformats.org/spreadsheetml/2006/main">
  <numFmts count="2">
    <numFmt numFmtId="164" formatCode="0.0"/>
    <numFmt numFmtId="165" formatCode="yyyy-mm-dd"/>
  </numFmts>
  <fonts count="5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9"/>
      <scheme val="minor"/>
    </font>
    <font>
      <name val="Calibri"/>
      <family val="2"/>
      <color theme="1"/>
      <sz val="10"/>
      <scheme val="minor"/>
    </font>
    <font>
      <name val="Calibri"/>
      <family val="2"/>
      <b val="1"/>
      <color theme="1"/>
      <sz val="10"/>
      <scheme val="minor"/>
    </font>
  </fonts>
  <fills count="3">
    <fill>
      <patternFill/>
    </fill>
    <fill>
      <patternFill patternType="gray125"/>
    </fill>
    <fill>
      <patternFill patternType="solid">
        <fgColor theme="0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1" fillId="0" borderId="0"/>
    <xf numFmtId="9" fontId="1" fillId="0" borderId="0"/>
  </cellStyleXfs>
  <cellXfs count="68">
    <xf numFmtId="0" fontId="0" fillId="0" borderId="0" pivotButton="0" quotePrefix="0" xfId="0"/>
    <xf numFmtId="0" fontId="2" fillId="0" borderId="0" applyAlignment="1" pivotButton="0" quotePrefix="0" xfId="0">
      <alignment vertical="center"/>
    </xf>
    <xf numFmtId="0" fontId="2" fillId="0" borderId="0" applyAlignment="1" pivotButton="0" quotePrefix="0" xfId="0">
      <alignment horizontal="center" vertical="center"/>
    </xf>
    <xf numFmtId="0" fontId="3" fillId="0" borderId="0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/>
    </xf>
    <xf numFmtId="0" fontId="4" fillId="0" borderId="11" applyAlignment="1" pivotButton="0" quotePrefix="0" xfId="0">
      <alignment horizontal="center" vertical="center"/>
    </xf>
    <xf numFmtId="9" fontId="4" fillId="0" borderId="11" applyAlignment="1" pivotButton="0" quotePrefix="0" xfId="1">
      <alignment horizontal="center" vertical="center"/>
    </xf>
    <xf numFmtId="9" fontId="4" fillId="0" borderId="12" applyAlignment="1" pivotButton="0" quotePrefix="0" xfId="1">
      <alignment horizontal="center" vertical="center"/>
    </xf>
    <xf numFmtId="0" fontId="3" fillId="0" borderId="0" applyAlignment="1" pivotButton="0" quotePrefix="0" xfId="0">
      <alignment vertical="center"/>
    </xf>
    <xf numFmtId="9" fontId="3" fillId="0" borderId="0" applyAlignment="1" pivotButton="0" quotePrefix="0" xfId="1">
      <alignment vertical="center"/>
    </xf>
    <xf numFmtId="0" fontId="4" fillId="0" borderId="10" applyAlignment="1" pivotButton="0" quotePrefix="0" xfId="0">
      <alignment horizontal="center" vertical="center"/>
    </xf>
    <xf numFmtId="9" fontId="3" fillId="0" borderId="0" applyAlignment="1" pivotButton="0" quotePrefix="0" xfId="1">
      <alignment horizontal="center" vertical="center"/>
    </xf>
    <xf numFmtId="16" fontId="3" fillId="0" borderId="4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9" fontId="3" fillId="0" borderId="5" applyAlignment="1" pivotButton="0" quotePrefix="0" xfId="1">
      <alignment horizontal="center" vertical="center"/>
    </xf>
    <xf numFmtId="9" fontId="3" fillId="0" borderId="6" applyAlignment="1" pivotButton="0" quotePrefix="0" xfId="1">
      <alignment horizontal="center" vertical="center"/>
    </xf>
    <xf numFmtId="16" fontId="3" fillId="0" borderId="2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/>
    </xf>
    <xf numFmtId="9" fontId="3" fillId="0" borderId="1" applyAlignment="1" pivotButton="0" quotePrefix="0" xfId="1">
      <alignment horizontal="center" vertical="center"/>
    </xf>
    <xf numFmtId="9" fontId="3" fillId="0" borderId="3" applyAlignment="1" pivotButton="0" quotePrefix="0" xfId="1">
      <alignment horizontal="center" vertical="center"/>
    </xf>
    <xf numFmtId="16" fontId="3" fillId="0" borderId="13" applyAlignment="1" pivotButton="0" quotePrefix="0" xfId="0">
      <alignment horizontal="center" vertical="center"/>
    </xf>
    <xf numFmtId="0" fontId="3" fillId="0" borderId="14" applyAlignment="1" pivotButton="0" quotePrefix="0" xfId="0">
      <alignment horizontal="center" vertical="center"/>
    </xf>
    <xf numFmtId="16" fontId="4" fillId="2" borderId="10" applyAlignment="1" pivotButton="0" quotePrefix="0" xfId="0">
      <alignment horizontal="center" vertical="center"/>
    </xf>
    <xf numFmtId="0" fontId="4" fillId="2" borderId="11" applyAlignment="1" pivotButton="0" quotePrefix="0" xfId="0">
      <alignment horizontal="center" vertical="center"/>
    </xf>
    <xf numFmtId="164" fontId="4" fillId="2" borderId="11" applyAlignment="1" pivotButton="0" quotePrefix="0" xfId="0">
      <alignment horizontal="center" vertical="center"/>
    </xf>
    <xf numFmtId="9" fontId="4" fillId="2" borderId="11" applyAlignment="1" pivotButton="0" quotePrefix="0" xfId="1">
      <alignment horizontal="center" vertical="center"/>
    </xf>
    <xf numFmtId="9" fontId="4" fillId="2" borderId="12" applyAlignment="1" pivotButton="0" quotePrefix="0" xfId="1">
      <alignment horizontal="center" vertical="center"/>
    </xf>
    <xf numFmtId="16" fontId="4" fillId="2" borderId="7" applyAlignment="1" pivotButton="0" quotePrefix="0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17" applyAlignment="1" pivotButton="0" quotePrefix="0" xfId="0">
      <alignment horizontal="center" vertical="center"/>
    </xf>
    <xf numFmtId="9" fontId="4" fillId="2" borderId="9" applyAlignment="1" pivotButton="0" quotePrefix="0" xfId="0">
      <alignment horizontal="center" vertical="center"/>
    </xf>
    <xf numFmtId="9" fontId="3" fillId="0" borderId="5" applyAlignment="1" pivotButton="0" quotePrefix="0" xfId="0">
      <alignment horizontal="center" vertical="center"/>
    </xf>
    <xf numFmtId="21" fontId="3" fillId="0" borderId="5" applyAlignment="1" pivotButton="0" quotePrefix="0" xfId="0">
      <alignment horizontal="center" vertical="center"/>
    </xf>
    <xf numFmtId="9" fontId="3" fillId="0" borderId="1" applyAlignment="1" pivotButton="0" quotePrefix="0" xfId="0">
      <alignment horizontal="center" vertical="center"/>
    </xf>
    <xf numFmtId="21" fontId="3" fillId="0" borderId="1" applyAlignment="1" pivotButton="0" quotePrefix="0" xfId="0">
      <alignment horizontal="center" vertical="center"/>
    </xf>
    <xf numFmtId="9" fontId="3" fillId="0" borderId="15" applyAlignment="1" pivotButton="0" quotePrefix="0" xfId="1">
      <alignment horizontal="center" vertical="center"/>
    </xf>
    <xf numFmtId="9" fontId="4" fillId="2" borderId="8" applyAlignment="1" pivotButton="0" quotePrefix="0" xfId="1">
      <alignment horizontal="center" vertical="center"/>
    </xf>
    <xf numFmtId="9" fontId="4" fillId="2" borderId="16" applyAlignment="1" pivotButton="0" quotePrefix="0" xfId="0">
      <alignment horizontal="center" vertical="center"/>
    </xf>
    <xf numFmtId="21" fontId="4" fillId="0" borderId="7" applyAlignment="1" pivotButton="0" quotePrefix="0" xfId="0">
      <alignment horizontal="center" vertical="center"/>
    </xf>
    <xf numFmtId="0" fontId="4" fillId="2" borderId="19" applyAlignment="1" pivotButton="0" quotePrefix="0" xfId="0">
      <alignment horizontal="center" vertical="center"/>
    </xf>
    <xf numFmtId="9" fontId="4" fillId="2" borderId="18" applyAlignment="1" pivotButton="0" quotePrefix="0" xfId="0">
      <alignment horizontal="center" vertical="center"/>
    </xf>
    <xf numFmtId="21" fontId="4" fillId="0" borderId="16" applyAlignment="1" pivotButton="0" quotePrefix="0" xfId="0">
      <alignment horizontal="center" vertical="center"/>
    </xf>
    <xf numFmtId="9" fontId="4" fillId="2" borderId="20" applyAlignment="1" pivotButton="0" quotePrefix="0" xfId="0">
      <alignment horizontal="center" vertical="center"/>
    </xf>
    <xf numFmtId="0" fontId="4" fillId="2" borderId="18" applyAlignment="1" pivotButton="0" quotePrefix="0" xfId="0">
      <alignment horizontal="center" vertical="center"/>
    </xf>
    <xf numFmtId="0" fontId="4" fillId="2" borderId="21" applyAlignment="1" pivotButton="0" quotePrefix="0" xfId="0">
      <alignment horizontal="center" vertical="center"/>
    </xf>
    <xf numFmtId="0" fontId="4" fillId="2" borderId="20" applyAlignment="1" pivotButton="0" quotePrefix="0" xfId="0">
      <alignment horizontal="center" vertical="center"/>
    </xf>
    <xf numFmtId="16" fontId="4" fillId="2" borderId="18" applyAlignment="1" pivotButton="0" quotePrefix="0" xfId="0">
      <alignment horizontal="center" vertical="center"/>
    </xf>
    <xf numFmtId="164" fontId="4" fillId="2" borderId="18" applyAlignment="1" pivotButton="0" quotePrefix="0" xfId="0">
      <alignment horizontal="center" vertical="center"/>
    </xf>
    <xf numFmtId="1" fontId="4" fillId="2" borderId="18" applyAlignment="1" pivotButton="0" quotePrefix="0" xfId="0">
      <alignment horizontal="center" vertical="center"/>
    </xf>
    <xf numFmtId="9" fontId="4" fillId="2" borderId="18" applyAlignment="1" pivotButton="0" quotePrefix="0" xfId="1">
      <alignment horizontal="center" vertical="center"/>
    </xf>
    <xf numFmtId="10" fontId="4" fillId="2" borderId="20" applyAlignment="1" pivotButton="0" quotePrefix="0" xfId="0">
      <alignment horizontal="center" vertical="center"/>
    </xf>
    <xf numFmtId="9" fontId="0" fillId="0" borderId="0" pivotButton="0" quotePrefix="0" xfId="0"/>
    <xf numFmtId="21" fontId="0" fillId="0" borderId="0" pivotButton="0" quotePrefix="0" xfId="0"/>
    <xf numFmtId="0" fontId="2" fillId="0" borderId="0" applyAlignment="1" pivotButton="0" quotePrefix="0" xfId="0">
      <alignment horizontal="right" vertical="center"/>
    </xf>
    <xf numFmtId="0" fontId="0" fillId="0" borderId="0" applyAlignment="1" pivotButton="0" quotePrefix="0" xfId="0">
      <alignment horizontal="right"/>
    </xf>
    <xf numFmtId="0" fontId="2" fillId="0" borderId="0" applyAlignment="1" pivotButton="0" quotePrefix="0" xfId="0">
      <alignment horizontal="left" vertical="center"/>
    </xf>
    <xf numFmtId="0" fontId="4" fillId="0" borderId="10" applyAlignment="1" pivotButton="0" quotePrefix="0" xfId="0">
      <alignment horizontal="center" vertical="center"/>
    </xf>
    <xf numFmtId="0" fontId="4" fillId="0" borderId="11" applyAlignment="1" pivotButton="0" quotePrefix="0" xfId="0">
      <alignment horizontal="center" vertical="center"/>
    </xf>
    <xf numFmtId="0" fontId="4" fillId="0" borderId="12" applyAlignment="1" pivotButton="0" quotePrefix="0" xfId="0">
      <alignment horizontal="center" vertical="center"/>
    </xf>
    <xf numFmtId="16" fontId="4" fillId="0" borderId="22" applyAlignment="1" pivotButton="0" quotePrefix="0" xfId="0">
      <alignment horizontal="center" vertical="center"/>
    </xf>
    <xf numFmtId="16" fontId="4" fillId="0" borderId="23" applyAlignment="1" pivotButton="0" quotePrefix="0" xfId="0">
      <alignment horizontal="center" vertical="center"/>
    </xf>
    <xf numFmtId="16" fontId="4" fillId="0" borderId="24" applyAlignment="1" pivotButton="0" quotePrefix="0" xfId="0">
      <alignment horizontal="center" vertical="center"/>
    </xf>
    <xf numFmtId="0" fontId="0" fillId="0" borderId="27" pivotButton="0" quotePrefix="0" xfId="0"/>
    <xf numFmtId="0" fontId="0" fillId="0" borderId="21" pivotButton="0" quotePrefix="0" xfId="0"/>
    <xf numFmtId="16" fontId="4" fillId="0" borderId="28" applyAlignment="1" pivotButton="0" quotePrefix="0" xfId="0">
      <alignment horizontal="center" vertical="center"/>
    </xf>
    <xf numFmtId="0" fontId="0" fillId="0" borderId="23" pivotButton="0" quotePrefix="0" xfId="0"/>
    <xf numFmtId="0" fontId="0" fillId="0" borderId="24" pivotButton="0" quotePrefix="0" xfId="0"/>
    <xf numFmtId="165" fontId="4" fillId="0" borderId="10" applyAlignment="1" pivotButton="0" quotePrefix="0" xfId="0">
      <alignment horizontal="center" vertical="center"/>
    </xf>
  </cellXfs>
  <cellStyles count="2">
    <cellStyle name="Normal" xfId="0" builtinId="0"/>
    <cellStyle name="Porcentagem" xfId="1" builtinId="5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Planilha1">
    <outlinePr summaryBelow="1" summaryRight="1"/>
    <pageSetUpPr/>
  </sheetPr>
  <dimension ref="A2:I35"/>
  <sheetViews>
    <sheetView showGridLines="0" zoomScaleNormal="100" workbookViewId="0">
      <selection activeCell="I6" sqref="I6"/>
    </sheetView>
  </sheetViews>
  <sheetFormatPr baseColWidth="8" defaultRowHeight="15" customHeight="1"/>
  <cols>
    <col width="3.7109375" customWidth="1" style="1" min="1" max="1"/>
    <col width="8.5703125" customWidth="1" style="3" min="2" max="2"/>
    <col width="5.140625" bestFit="1" customWidth="1" style="3" min="3" max="3"/>
    <col width="9.140625" bestFit="1" customWidth="1" style="3" min="4" max="4"/>
    <col width="8" customWidth="1" style="11" min="5" max="5"/>
    <col width="9.5703125" bestFit="1" customWidth="1" style="3" min="6" max="6"/>
    <col width="13.42578125" customWidth="1" style="11" min="7" max="7"/>
    <col width="31" bestFit="1" customWidth="1" style="3" min="8" max="8"/>
    <col width="6.28515625" bestFit="1" customWidth="1" style="11" min="9" max="9"/>
    <col width="9.140625" customWidth="1" style="1" min="10" max="16384"/>
  </cols>
  <sheetData>
    <row r="1" ht="15" customHeight="1" thickBot="1"/>
    <row r="2" ht="15" customFormat="1" customHeight="1" s="2" thickBot="1">
      <c r="A2" s="3" t="n"/>
      <c r="B2" s="56" t="inlineStr">
        <is>
          <t>Controle Diário de Chamadas Abandonadas - Retorno Ura TIM</t>
        </is>
      </c>
      <c r="C2" s="62" t="n"/>
      <c r="D2" s="62" t="n"/>
      <c r="E2" s="62" t="n"/>
      <c r="F2" s="62" t="n"/>
      <c r="G2" s="62" t="n"/>
      <c r="H2" s="62" t="n"/>
      <c r="I2" s="63" t="n"/>
    </row>
    <row r="3" ht="15" customFormat="1" customHeight="1" s="2" thickBot="1">
      <c r="A3" s="4" t="n"/>
      <c r="B3" s="56" t="inlineStr">
        <is>
          <t>Dia</t>
        </is>
      </c>
      <c r="C3" s="57" t="inlineStr">
        <is>
          <t>Total</t>
        </is>
      </c>
      <c r="D3" s="57" t="inlineStr">
        <is>
          <t>Atendidas</t>
        </is>
      </c>
      <c r="E3" s="6" t="inlineStr">
        <is>
          <t>%</t>
        </is>
      </c>
      <c r="F3" s="57" t="inlineStr">
        <is>
          <t>Rejeitadas</t>
        </is>
      </c>
      <c r="G3" s="6" t="inlineStr">
        <is>
          <t>%</t>
        </is>
      </c>
      <c r="H3" s="57" t="inlineStr">
        <is>
          <t>Rejeitadas (atendimento assessoria)</t>
        </is>
      </c>
      <c r="I3" s="7" t="inlineStr">
        <is>
          <t>SLA</t>
        </is>
      </c>
    </row>
    <row r="4" ht="15" customHeight="1">
      <c r="A4" s="8" t="n"/>
      <c r="B4" s="12" t="n">
        <v>44683</v>
      </c>
      <c r="C4" s="13" t="n">
        <v>108</v>
      </c>
      <c r="D4" s="13" t="n">
        <v>99</v>
      </c>
      <c r="E4" s="14">
        <f>D4/C4</f>
        <v/>
      </c>
      <c r="F4" s="13" t="n">
        <v>9</v>
      </c>
      <c r="G4" s="14">
        <f>F4/C4</f>
        <v/>
      </c>
      <c r="H4" s="13" t="n">
        <v>1</v>
      </c>
      <c r="I4" s="15" t="n">
        <v>0.99</v>
      </c>
    </row>
    <row r="5" ht="15" customHeight="1">
      <c r="A5" s="8" t="n"/>
      <c r="B5" s="16" t="n">
        <v>44684</v>
      </c>
      <c r="C5" s="17" t="n">
        <v>140</v>
      </c>
      <c r="D5" s="17" t="n">
        <v>81</v>
      </c>
      <c r="E5" s="18">
        <f>D5/C5</f>
        <v/>
      </c>
      <c r="F5" s="17" t="n">
        <v>59</v>
      </c>
      <c r="G5" s="18">
        <f>F5/C5</f>
        <v/>
      </c>
      <c r="H5" s="17" t="n">
        <v>50</v>
      </c>
      <c r="I5" s="19" t="n">
        <v>0.62</v>
      </c>
    </row>
    <row r="6" ht="15" customHeight="1">
      <c r="A6" s="8" t="n"/>
      <c r="B6" s="16" t="n">
        <v>44685</v>
      </c>
      <c r="C6" s="17" t="n">
        <v>111</v>
      </c>
      <c r="D6" s="17" t="n">
        <v>102</v>
      </c>
      <c r="E6" s="18">
        <f>D6/C6</f>
        <v/>
      </c>
      <c r="F6" s="17" t="n">
        <v>9</v>
      </c>
      <c r="G6" s="18">
        <f>F6/C6</f>
        <v/>
      </c>
      <c r="H6" s="17" t="n">
        <v>0</v>
      </c>
      <c r="I6" s="19" t="n">
        <v>1</v>
      </c>
    </row>
    <row r="7" ht="15" customHeight="1">
      <c r="A7" s="8" t="n"/>
      <c r="B7" s="16" t="n">
        <v>44686</v>
      </c>
      <c r="C7" s="17" t="n">
        <v>108</v>
      </c>
      <c r="D7" s="17" t="n">
        <v>95</v>
      </c>
      <c r="E7" s="18">
        <f>D7/C7</f>
        <v/>
      </c>
      <c r="F7" s="17" t="n">
        <v>13</v>
      </c>
      <c r="G7" s="18">
        <f>F7/C7</f>
        <v/>
      </c>
      <c r="H7" s="17" t="n">
        <v>1</v>
      </c>
      <c r="I7" s="19" t="n">
        <v>0.99</v>
      </c>
    </row>
    <row r="8" ht="15" customHeight="1">
      <c r="A8" s="8" t="n"/>
      <c r="B8" s="16" t="n">
        <v>44687</v>
      </c>
      <c r="C8" s="17" t="n">
        <v>112</v>
      </c>
      <c r="D8" s="17" t="n">
        <v>104</v>
      </c>
      <c r="E8" s="18">
        <f>D8/C8</f>
        <v/>
      </c>
      <c r="F8" s="17" t="n">
        <v>8</v>
      </c>
      <c r="G8" s="18">
        <f>F8/C8</f>
        <v/>
      </c>
      <c r="H8" s="17" t="n">
        <v>2</v>
      </c>
      <c r="I8" s="19" t="n">
        <v>0.98</v>
      </c>
    </row>
    <row r="9" ht="15" customHeight="1">
      <c r="A9" s="8" t="n"/>
      <c r="B9" s="16" t="n">
        <v>44688</v>
      </c>
      <c r="C9" s="17" t="n">
        <v>48</v>
      </c>
      <c r="D9" s="17" t="n">
        <v>20</v>
      </c>
      <c r="E9" s="18">
        <f>D9/C9</f>
        <v/>
      </c>
      <c r="F9" s="17" t="n">
        <v>28</v>
      </c>
      <c r="G9" s="18">
        <f>F9/C9</f>
        <v/>
      </c>
      <c r="H9" s="17" t="n">
        <v>0</v>
      </c>
      <c r="I9" s="19" t="n">
        <v>1</v>
      </c>
    </row>
    <row r="10" ht="15" customHeight="1">
      <c r="A10" s="8" t="n"/>
      <c r="B10" s="16" t="n">
        <v>44689</v>
      </c>
      <c r="C10" s="17" t="n">
        <v>16</v>
      </c>
      <c r="D10" s="17" t="n">
        <v>0</v>
      </c>
      <c r="E10" s="18">
        <f>D10/C10</f>
        <v/>
      </c>
      <c r="F10" s="17" t="n">
        <v>16</v>
      </c>
      <c r="G10" s="18">
        <f>F10/C10</f>
        <v/>
      </c>
      <c r="H10" s="17" t="n">
        <v>0</v>
      </c>
      <c r="I10" s="19" t="n">
        <v>1</v>
      </c>
    </row>
    <row r="11" ht="15" customHeight="1">
      <c r="A11" s="8" t="n"/>
      <c r="B11" s="16" t="n">
        <v>44690</v>
      </c>
      <c r="C11" s="17" t="n">
        <v>76</v>
      </c>
      <c r="D11" s="17" t="n">
        <v>71</v>
      </c>
      <c r="E11" s="18">
        <f>D11/C11</f>
        <v/>
      </c>
      <c r="F11" s="17" t="n">
        <v>5</v>
      </c>
      <c r="G11" s="18">
        <f>F11/C11</f>
        <v/>
      </c>
      <c r="H11" s="17" t="n">
        <v>0</v>
      </c>
      <c r="I11" s="19" t="n">
        <v>1</v>
      </c>
    </row>
    <row r="12" ht="15" customHeight="1">
      <c r="A12" s="8" t="n"/>
      <c r="B12" s="16" t="n">
        <v>44691</v>
      </c>
      <c r="C12" s="17" t="n">
        <v>86</v>
      </c>
      <c r="D12" s="17" t="n">
        <v>78</v>
      </c>
      <c r="E12" s="18">
        <f>D12/C12</f>
        <v/>
      </c>
      <c r="F12" s="17" t="n">
        <v>8</v>
      </c>
      <c r="G12" s="18">
        <f>F12/C12</f>
        <v/>
      </c>
      <c r="H12" s="17" t="n">
        <v>0</v>
      </c>
      <c r="I12" s="19" t="n">
        <v>1</v>
      </c>
    </row>
    <row r="13" ht="15" customHeight="1">
      <c r="A13" s="8" t="n"/>
      <c r="B13" s="16" t="n">
        <v>44692</v>
      </c>
      <c r="C13" s="17" t="n">
        <v>273</v>
      </c>
      <c r="D13" s="17" t="n">
        <v>236</v>
      </c>
      <c r="E13" s="18">
        <f>D13/C13</f>
        <v/>
      </c>
      <c r="F13" s="17" t="n">
        <v>37</v>
      </c>
      <c r="G13" s="18">
        <f>F13/C13</f>
        <v/>
      </c>
      <c r="H13" s="17" t="n">
        <v>2</v>
      </c>
      <c r="I13" s="19" t="n">
        <v>0.99</v>
      </c>
    </row>
    <row r="14" ht="15" customHeight="1">
      <c r="A14" s="8" t="n"/>
      <c r="B14" s="16" t="n">
        <v>44693</v>
      </c>
      <c r="C14" s="17" t="n">
        <v>161</v>
      </c>
      <c r="D14" s="17" t="n">
        <v>140</v>
      </c>
      <c r="E14" s="18">
        <f>D14/C14</f>
        <v/>
      </c>
      <c r="F14" s="17" t="n">
        <v>21</v>
      </c>
      <c r="G14" s="18">
        <f>F14/C14</f>
        <v/>
      </c>
      <c r="H14" s="17" t="n">
        <v>0</v>
      </c>
      <c r="I14" s="19" t="n">
        <v>1</v>
      </c>
    </row>
    <row r="15" ht="15" customHeight="1">
      <c r="A15" s="8" t="n"/>
      <c r="B15" s="16" t="n">
        <v>44694</v>
      </c>
      <c r="C15" s="17" t="n">
        <v>101</v>
      </c>
      <c r="D15" s="17" t="n">
        <v>84</v>
      </c>
      <c r="E15" s="18">
        <f>D15/C15</f>
        <v/>
      </c>
      <c r="F15" s="17" t="n">
        <v>17</v>
      </c>
      <c r="G15" s="18">
        <f>F15/C15</f>
        <v/>
      </c>
      <c r="H15" s="17" t="n">
        <v>6</v>
      </c>
      <c r="I15" s="19" t="n">
        <v>0.93</v>
      </c>
    </row>
    <row r="16" ht="15" customHeight="1">
      <c r="A16" s="8" t="n"/>
      <c r="B16" s="16" t="n">
        <v>44695</v>
      </c>
      <c r="C16" s="17" t="n">
        <v>46</v>
      </c>
      <c r="D16" s="17" t="n">
        <v>25</v>
      </c>
      <c r="E16" s="18">
        <f>D16/C16</f>
        <v/>
      </c>
      <c r="F16" s="17" t="n">
        <v>21</v>
      </c>
      <c r="G16" s="18">
        <f>F16/C16</f>
        <v/>
      </c>
      <c r="H16" s="17" t="n">
        <v>0</v>
      </c>
      <c r="I16" s="19" t="n">
        <v>1</v>
      </c>
    </row>
    <row r="17" ht="15" customHeight="1">
      <c r="A17" s="8" t="n"/>
      <c r="B17" s="16" t="n">
        <v>44696</v>
      </c>
      <c r="C17" s="17" t="n">
        <v>17</v>
      </c>
      <c r="D17" s="17" t="n">
        <v>0</v>
      </c>
      <c r="E17" s="18">
        <f>D17/C17</f>
        <v/>
      </c>
      <c r="F17" s="17" t="n">
        <v>17</v>
      </c>
      <c r="G17" s="18">
        <f>F17/C17</f>
        <v/>
      </c>
      <c r="H17" s="17" t="n">
        <v>0</v>
      </c>
      <c r="I17" s="19" t="n">
        <v>1</v>
      </c>
    </row>
    <row r="18" ht="15" customHeight="1">
      <c r="A18" s="8" t="n"/>
      <c r="B18" s="16" t="n">
        <v>44697</v>
      </c>
      <c r="C18" s="17" t="n">
        <v>124</v>
      </c>
      <c r="D18" s="17" t="n">
        <v>113</v>
      </c>
      <c r="E18" s="18">
        <f>D18/C18</f>
        <v/>
      </c>
      <c r="F18" s="17" t="n">
        <v>11</v>
      </c>
      <c r="G18" s="18">
        <f>F18/C18</f>
        <v/>
      </c>
      <c r="H18" s="17" t="n">
        <v>0</v>
      </c>
      <c r="I18" s="19" t="n">
        <v>1</v>
      </c>
    </row>
    <row r="19" ht="15" customHeight="1">
      <c r="A19" s="8" t="n"/>
      <c r="B19" s="16" t="n">
        <v>44698</v>
      </c>
      <c r="C19" s="17" t="n">
        <v>92</v>
      </c>
      <c r="D19" s="17" t="n">
        <v>89</v>
      </c>
      <c r="E19" s="18">
        <f>D19/C19</f>
        <v/>
      </c>
      <c r="F19" s="17" t="n">
        <v>3</v>
      </c>
      <c r="G19" s="18">
        <f>F19/C19</f>
        <v/>
      </c>
      <c r="H19" s="17" t="n">
        <v>0</v>
      </c>
      <c r="I19" s="19" t="n">
        <v>1</v>
      </c>
    </row>
    <row r="20" ht="15" customHeight="1">
      <c r="A20" s="8" t="n"/>
      <c r="B20" s="16" t="n">
        <v>44699</v>
      </c>
      <c r="C20" s="17" t="n">
        <v>209</v>
      </c>
      <c r="D20" s="17" t="n">
        <v>192</v>
      </c>
      <c r="E20" s="18">
        <f>D20/C20</f>
        <v/>
      </c>
      <c r="F20" s="17" t="n">
        <v>17</v>
      </c>
      <c r="G20" s="18">
        <f>F20/C20</f>
        <v/>
      </c>
      <c r="H20" s="17" t="n">
        <v>0</v>
      </c>
      <c r="I20" s="19" t="n">
        <v>1</v>
      </c>
    </row>
    <row r="21" ht="15" customHeight="1">
      <c r="A21" s="8" t="n"/>
      <c r="B21" s="16" t="n">
        <v>44700</v>
      </c>
      <c r="C21" s="17" t="n">
        <v>118</v>
      </c>
      <c r="D21" s="17" t="n">
        <v>105</v>
      </c>
      <c r="E21" s="18">
        <f>D21/C21</f>
        <v/>
      </c>
      <c r="F21" s="17" t="n">
        <v>13</v>
      </c>
      <c r="G21" s="18">
        <f>F21/C21</f>
        <v/>
      </c>
      <c r="H21" s="17" t="n">
        <v>0</v>
      </c>
      <c r="I21" s="19" t="n">
        <v>1</v>
      </c>
    </row>
    <row r="22" ht="15" customHeight="1">
      <c r="A22" s="8" t="n"/>
      <c r="B22" s="16" t="n">
        <v>44701</v>
      </c>
      <c r="C22" s="17" t="n">
        <v>96</v>
      </c>
      <c r="D22" s="17" t="n">
        <v>90</v>
      </c>
      <c r="E22" s="18">
        <f>D22/C22</f>
        <v/>
      </c>
      <c r="F22" s="17" t="n">
        <v>6</v>
      </c>
      <c r="G22" s="18">
        <f>F22/C22</f>
        <v/>
      </c>
      <c r="H22" s="17" t="n">
        <v>0</v>
      </c>
      <c r="I22" s="19" t="n">
        <v>1</v>
      </c>
    </row>
    <row r="23" ht="15" customHeight="1">
      <c r="A23" s="8" t="n"/>
      <c r="B23" s="16" t="n">
        <v>44702</v>
      </c>
      <c r="C23" s="17" t="n">
        <v>44</v>
      </c>
      <c r="D23" s="17" t="n">
        <v>28</v>
      </c>
      <c r="E23" s="18">
        <f>D23/C23</f>
        <v/>
      </c>
      <c r="F23" s="17" t="n">
        <v>16</v>
      </c>
      <c r="G23" s="18">
        <f>F23/C23</f>
        <v/>
      </c>
      <c r="H23" s="17" t="n">
        <v>0</v>
      </c>
      <c r="I23" s="19" t="n">
        <v>1</v>
      </c>
    </row>
    <row r="24" ht="15" customHeight="1">
      <c r="A24" s="8" t="n"/>
      <c r="B24" s="16" t="n">
        <v>44703</v>
      </c>
      <c r="C24" s="17" t="n">
        <v>11</v>
      </c>
      <c r="D24" s="17" t="n">
        <v>0</v>
      </c>
      <c r="E24" s="18">
        <f>D24/C24</f>
        <v/>
      </c>
      <c r="F24" s="17" t="n">
        <v>11</v>
      </c>
      <c r="G24" s="18">
        <f>F24/C24</f>
        <v/>
      </c>
      <c r="H24" s="17" t="n">
        <v>0</v>
      </c>
      <c r="I24" s="19" t="n">
        <v>1</v>
      </c>
    </row>
    <row r="25" ht="15" customHeight="1">
      <c r="A25" s="8" t="n"/>
      <c r="B25" s="16" t="n">
        <v>44704</v>
      </c>
      <c r="C25" s="17" t="n">
        <v>159</v>
      </c>
      <c r="D25" s="17" t="n">
        <v>153</v>
      </c>
      <c r="E25" s="18">
        <f>D25/C25</f>
        <v/>
      </c>
      <c r="F25" s="17" t="n">
        <v>6</v>
      </c>
      <c r="G25" s="18">
        <f>F25/C25</f>
        <v/>
      </c>
      <c r="H25" s="17" t="n">
        <v>0</v>
      </c>
      <c r="I25" s="19" t="n">
        <v>1</v>
      </c>
    </row>
    <row r="26" ht="15" customHeight="1">
      <c r="A26" s="8" t="n"/>
      <c r="B26" s="16" t="n">
        <v>44705</v>
      </c>
      <c r="C26" s="17" t="n">
        <v>115</v>
      </c>
      <c r="D26" s="17" t="n">
        <v>104</v>
      </c>
      <c r="E26" s="18">
        <f>D26/C26</f>
        <v/>
      </c>
      <c r="F26" s="17" t="n">
        <v>11</v>
      </c>
      <c r="G26" s="18">
        <f>F26/C26</f>
        <v/>
      </c>
      <c r="H26" s="17" t="n">
        <v>1</v>
      </c>
      <c r="I26" s="19" t="n">
        <v>0.99</v>
      </c>
    </row>
    <row r="27" ht="15" customHeight="1">
      <c r="A27" s="8" t="n"/>
      <c r="B27" s="16" t="n">
        <v>44706</v>
      </c>
      <c r="C27" s="17" t="n">
        <v>90</v>
      </c>
      <c r="D27" s="17" t="n">
        <v>84</v>
      </c>
      <c r="E27" s="18">
        <f>D27/C27</f>
        <v/>
      </c>
      <c r="F27" s="17" t="n">
        <v>6</v>
      </c>
      <c r="G27" s="18">
        <f>F27/C27</f>
        <v/>
      </c>
      <c r="H27" s="17" t="n">
        <v>1</v>
      </c>
      <c r="I27" s="19" t="n">
        <v>0.99</v>
      </c>
    </row>
    <row r="28" ht="15" customHeight="1">
      <c r="B28" s="16" t="n">
        <v>44707</v>
      </c>
      <c r="C28" s="17" t="n">
        <v>73</v>
      </c>
      <c r="D28" s="17" t="n">
        <v>73</v>
      </c>
      <c r="E28" s="18">
        <f>D28/C28</f>
        <v/>
      </c>
      <c r="F28" s="17" t="n">
        <v>0</v>
      </c>
      <c r="G28" s="18">
        <f>F28/C28</f>
        <v/>
      </c>
      <c r="H28" s="17" t="n">
        <v>0</v>
      </c>
      <c r="I28" s="19" t="n">
        <v>1</v>
      </c>
    </row>
    <row r="29" ht="15" customHeight="1">
      <c r="B29" s="16" t="n">
        <v>44708</v>
      </c>
      <c r="C29" s="17" t="n">
        <v>167</v>
      </c>
      <c r="D29" s="17" t="n">
        <v>149</v>
      </c>
      <c r="E29" s="18">
        <f>D29/C29</f>
        <v/>
      </c>
      <c r="F29" s="17" t="n">
        <v>18</v>
      </c>
      <c r="G29" s="18">
        <f>F29/C29</f>
        <v/>
      </c>
      <c r="H29" s="17" t="n">
        <v>1</v>
      </c>
      <c r="I29" s="19" t="n">
        <v>1</v>
      </c>
    </row>
    <row r="30" ht="15" customHeight="1">
      <c r="B30" s="16" t="n">
        <v>44709</v>
      </c>
      <c r="C30" s="17" t="n">
        <v>59</v>
      </c>
      <c r="D30" s="17" t="n">
        <v>35</v>
      </c>
      <c r="E30" s="18">
        <f>D30/C30</f>
        <v/>
      </c>
      <c r="F30" s="17" t="n">
        <v>24</v>
      </c>
      <c r="G30" s="18">
        <f>F30/C30</f>
        <v/>
      </c>
      <c r="H30" s="17" t="n">
        <v>0</v>
      </c>
      <c r="I30" s="19" t="n">
        <v>1</v>
      </c>
    </row>
    <row r="31" hidden="1" ht="15" customHeight="1">
      <c r="B31" s="16" t="n">
        <v>44710</v>
      </c>
      <c r="C31" s="17" t="n"/>
      <c r="D31" s="17" t="n"/>
      <c r="E31" s="18">
        <f>D31/C31</f>
        <v/>
      </c>
      <c r="F31" s="17" t="n"/>
      <c r="G31" s="18">
        <f>F31/C31</f>
        <v/>
      </c>
      <c r="H31" s="17" t="n"/>
      <c r="I31" s="19" t="n"/>
    </row>
    <row r="32" ht="15" customHeight="1">
      <c r="B32" s="20" t="n">
        <v>44711</v>
      </c>
      <c r="C32" s="21" t="n">
        <v>108</v>
      </c>
      <c r="D32" s="21" t="n">
        <v>100</v>
      </c>
      <c r="E32" s="18">
        <f>D32/C32</f>
        <v/>
      </c>
      <c r="F32" s="21" t="n">
        <v>8</v>
      </c>
      <c r="G32" s="18">
        <f>F32/C32</f>
        <v/>
      </c>
      <c r="H32" s="21" t="n">
        <v>0</v>
      </c>
      <c r="I32" s="19" t="n">
        <v>1</v>
      </c>
    </row>
    <row r="33" ht="15" customHeight="1" thickBot="1">
      <c r="B33" s="16" t="n">
        <v>44712</v>
      </c>
      <c r="C33" s="17" t="n">
        <v>110</v>
      </c>
      <c r="D33" s="17" t="n">
        <v>97</v>
      </c>
      <c r="E33" s="18">
        <f>D33/C33</f>
        <v/>
      </c>
      <c r="F33" s="17" t="n">
        <v>13</v>
      </c>
      <c r="G33" s="18">
        <f>F33/C33</f>
        <v/>
      </c>
      <c r="H33" s="17" t="n">
        <v>0</v>
      </c>
      <c r="I33" s="19" t="n">
        <v>1</v>
      </c>
    </row>
    <row r="34" ht="15" customHeight="1" thickBot="1">
      <c r="B34" s="22" t="inlineStr">
        <is>
          <t>MÉDIA</t>
        </is>
      </c>
      <c r="C34" s="23">
        <f>IFERROR(AVERAGE(C4:C32),0)</f>
        <v/>
      </c>
      <c r="D34" s="24">
        <f>IFERROR(AVERAGE(D4:D32),0)</f>
        <v/>
      </c>
      <c r="E34" s="25">
        <f>IFERROR(AVERAGE(E4:E32),0)</f>
        <v/>
      </c>
      <c r="F34" s="24">
        <f>IFERROR(AVERAGE(F4:F32),0)</f>
        <v/>
      </c>
      <c r="G34" s="25">
        <f>IFERROR(AVERAGE(G4:G32),0)</f>
        <v/>
      </c>
      <c r="H34" s="24">
        <f>IFERROR(AVERAGE(H4:H32),0)</f>
        <v/>
      </c>
      <c r="I34" s="26">
        <f>IFERROR(AVERAGE(I4:I30,I31:I33),0)</f>
        <v/>
      </c>
    </row>
    <row r="35" ht="15" customHeight="1" thickBot="1">
      <c r="B35" s="27" t="inlineStr">
        <is>
          <t>SOMA</t>
        </is>
      </c>
      <c r="C35" s="28">
        <f>SUM(C4:C32)</f>
        <v/>
      </c>
      <c r="D35" s="28">
        <f>SUM(D4:D32)</f>
        <v/>
      </c>
      <c r="E35" s="30" t="n">
        <v>21.94</v>
      </c>
      <c r="F35" s="28">
        <f>SUM(F4:F32)</f>
        <v/>
      </c>
      <c r="G35" s="30" t="n">
        <v>7.06</v>
      </c>
      <c r="H35" s="29">
        <f>SUM(H4:H32)</f>
        <v/>
      </c>
      <c r="I35" s="30">
        <f>SUM(I4:I30,I31:I33)</f>
        <v/>
      </c>
    </row>
  </sheetData>
  <mergeCells count="1">
    <mergeCell ref="B2:I2"/>
  </mergeCells>
  <pageMargins left="0.511811024" right="0.511811024" top="0.787401575" bottom="0.787401575" header="0.31496062" footer="0.31496062"/>
  <pageSetup orientation="portrait" paperSize="9"/>
</worksheet>
</file>

<file path=xl/worksheets/sheet2.xml><?xml version="1.0" encoding="utf-8"?>
<worksheet xmlns="http://schemas.openxmlformats.org/spreadsheetml/2006/main">
  <sheetPr codeName="Planilha2">
    <outlinePr summaryBelow="1" summaryRight="1"/>
    <pageSetUpPr/>
  </sheetPr>
  <dimension ref="A2:P35"/>
  <sheetViews>
    <sheetView showGridLines="0" zoomScaleNormal="100" workbookViewId="0">
      <selection activeCell="G4" sqref="G4"/>
    </sheetView>
  </sheetViews>
  <sheetFormatPr baseColWidth="8" defaultRowHeight="15"/>
  <cols>
    <col width="3.7109375" customWidth="1" style="1" min="1" max="1"/>
    <col width="7.140625" bestFit="1" customWidth="1" style="3" min="2" max="2"/>
    <col width="7" bestFit="1" customWidth="1" style="8" min="3" max="3"/>
    <col width="9.42578125" bestFit="1" customWidth="1" style="8" min="4" max="4"/>
    <col width="7" bestFit="1" customWidth="1" style="9" min="5" max="5"/>
    <col width="10.42578125" bestFit="1" customWidth="1" style="8" min="6" max="6"/>
    <col width="7.28515625" customWidth="1" style="9" min="7" max="7"/>
    <col hidden="1" width="7.28515625" customWidth="1" style="8" min="8" max="11"/>
    <col hidden="1" width="13.42578125" customWidth="1" style="8" min="12" max="12"/>
    <col hidden="1" width="11.7109375" customWidth="1" style="8" min="13" max="13"/>
    <col width="31" bestFit="1" customWidth="1" style="8" min="14" max="14"/>
    <col width="11" customWidth="1" style="9" min="15" max="15"/>
    <col width="9.140625" customWidth="1" style="1" min="16" max="16"/>
  </cols>
  <sheetData>
    <row r="1" ht="15.75" customHeight="1" thickBot="1"/>
    <row r="2" ht="15.75" customHeight="1" thickBot="1">
      <c r="A2" s="3" t="n"/>
      <c r="B2" s="56" t="inlineStr">
        <is>
          <t>Controle Diário de Chamadas Abandonadas - Retorno Ura TIM</t>
        </is>
      </c>
      <c r="C2" s="62" t="n"/>
      <c r="D2" s="62" t="n"/>
      <c r="E2" s="62" t="n"/>
      <c r="F2" s="62" t="n"/>
      <c r="G2" s="62" t="n"/>
      <c r="H2" s="62" t="n"/>
      <c r="I2" s="62" t="n"/>
      <c r="J2" s="62" t="n"/>
      <c r="K2" s="62" t="n"/>
      <c r="L2" s="62" t="n"/>
      <c r="M2" s="62" t="n"/>
      <c r="N2" s="62" t="n"/>
      <c r="O2" s="63" t="n"/>
      <c r="P2" s="2" t="n"/>
    </row>
    <row r="3" ht="15.75" customHeight="1" thickBot="1">
      <c r="A3" s="4" t="n"/>
      <c r="B3" s="56" t="inlineStr">
        <is>
          <t>Dia</t>
        </is>
      </c>
      <c r="C3" s="57" t="inlineStr">
        <is>
          <t>Total</t>
        </is>
      </c>
      <c r="D3" s="57" t="inlineStr">
        <is>
          <t>Atendidas</t>
        </is>
      </c>
      <c r="E3" s="6" t="inlineStr">
        <is>
          <t>%</t>
        </is>
      </c>
      <c r="F3" s="57" t="inlineStr">
        <is>
          <t>Rejeitadas</t>
        </is>
      </c>
      <c r="G3" s="6" t="inlineStr">
        <is>
          <t>%</t>
        </is>
      </c>
      <c r="H3" s="57" t="inlineStr">
        <is>
          <t>PF</t>
        </is>
      </c>
      <c r="I3" s="57" t="inlineStr">
        <is>
          <t>%</t>
        </is>
      </c>
      <c r="J3" s="57" t="inlineStr">
        <is>
          <t>PJ</t>
        </is>
      </c>
      <c r="K3" s="57" t="inlineStr">
        <is>
          <t>%</t>
        </is>
      </c>
      <c r="L3" s="57" t="inlineStr">
        <is>
          <t>TMA Assessoria</t>
        </is>
      </c>
      <c r="M3" s="57" t="inlineStr">
        <is>
          <t>TMA Conversa</t>
        </is>
      </c>
      <c r="N3" s="57" t="inlineStr">
        <is>
          <t>Rejeitadas (atendimento assessoria)</t>
        </is>
      </c>
      <c r="O3" s="7" t="inlineStr">
        <is>
          <t>SLA</t>
        </is>
      </c>
      <c r="P3" s="2" t="n"/>
    </row>
    <row r="4">
      <c r="A4" s="8" t="n"/>
      <c r="B4" s="12" t="n">
        <v>44713</v>
      </c>
      <c r="C4" s="13" t="n">
        <v>108</v>
      </c>
      <c r="D4" s="13" t="n">
        <v>100</v>
      </c>
      <c r="E4" s="18">
        <f>D4/C4</f>
        <v/>
      </c>
      <c r="F4" s="13" t="n">
        <v>8</v>
      </c>
      <c r="G4" s="18">
        <f>F4/C4</f>
        <v/>
      </c>
      <c r="H4" s="13" t="n"/>
      <c r="I4" s="31" t="n"/>
      <c r="J4" s="13" t="n"/>
      <c r="K4" s="31" t="n"/>
      <c r="L4" s="32" t="n"/>
      <c r="M4" s="32" t="n"/>
      <c r="N4" s="13" t="n">
        <v>0</v>
      </c>
      <c r="O4" s="19" t="n">
        <v>1</v>
      </c>
    </row>
    <row r="5">
      <c r="A5" s="8" t="n"/>
      <c r="B5" s="12" t="n">
        <v>44714</v>
      </c>
      <c r="C5" s="17" t="n">
        <v>68</v>
      </c>
      <c r="D5" s="17" t="n">
        <v>62</v>
      </c>
      <c r="E5" s="18">
        <f>D5/C5</f>
        <v/>
      </c>
      <c r="F5" s="17" t="n">
        <v>6</v>
      </c>
      <c r="G5" s="18">
        <f>F5/C5</f>
        <v/>
      </c>
      <c r="H5" s="17" t="n"/>
      <c r="I5" s="33" t="n"/>
      <c r="J5" s="17" t="n"/>
      <c r="K5" s="33" t="n"/>
      <c r="L5" s="34" t="n"/>
      <c r="M5" s="34" t="n"/>
      <c r="N5" s="17" t="n">
        <v>0</v>
      </c>
      <c r="O5" s="19" t="n">
        <v>1</v>
      </c>
    </row>
    <row r="6">
      <c r="A6" s="8" t="n"/>
      <c r="B6" s="12" t="n">
        <v>44715</v>
      </c>
      <c r="C6" s="17" t="n">
        <v>94</v>
      </c>
      <c r="D6" s="17" t="n">
        <v>85</v>
      </c>
      <c r="E6" s="18">
        <f>D6/C6</f>
        <v/>
      </c>
      <c r="F6" s="17" t="n">
        <v>9</v>
      </c>
      <c r="G6" s="18">
        <f>F6/C6</f>
        <v/>
      </c>
      <c r="H6" s="17" t="n"/>
      <c r="I6" s="33" t="n"/>
      <c r="J6" s="17" t="n"/>
      <c r="K6" s="33" t="n"/>
      <c r="L6" s="34" t="n"/>
      <c r="M6" s="34" t="n"/>
      <c r="N6" s="17" t="n">
        <v>2</v>
      </c>
      <c r="O6" s="19" t="n">
        <v>0.98</v>
      </c>
    </row>
    <row r="7">
      <c r="A7" s="8" t="n"/>
      <c r="B7" s="12" t="n">
        <v>44716</v>
      </c>
      <c r="C7" s="17" t="n">
        <v>46</v>
      </c>
      <c r="D7" s="17" t="n">
        <v>19</v>
      </c>
      <c r="E7" s="18">
        <f>D7/C7</f>
        <v/>
      </c>
      <c r="F7" s="17" t="n">
        <v>27</v>
      </c>
      <c r="G7" s="18">
        <f>F7/C7</f>
        <v/>
      </c>
      <c r="H7" s="17" t="n"/>
      <c r="I7" s="33" t="n"/>
      <c r="J7" s="17" t="n"/>
      <c r="K7" s="33" t="n"/>
      <c r="L7" s="34" t="n"/>
      <c r="M7" s="34" t="n"/>
      <c r="N7" s="17" t="n">
        <v>0</v>
      </c>
      <c r="O7" s="19" t="n">
        <v>1</v>
      </c>
    </row>
    <row r="8">
      <c r="A8" s="8" t="n"/>
      <c r="B8" s="64" t="inlineStr">
        <is>
          <t>Domingo</t>
        </is>
      </c>
      <c r="C8" s="65" t="n"/>
      <c r="D8" s="65" t="n"/>
      <c r="E8" s="65" t="n"/>
      <c r="F8" s="65" t="n"/>
      <c r="G8" s="65" t="n"/>
      <c r="H8" s="65" t="n"/>
      <c r="I8" s="65" t="n"/>
      <c r="J8" s="65" t="n"/>
      <c r="K8" s="65" t="n"/>
      <c r="L8" s="65" t="n"/>
      <c r="M8" s="65" t="n"/>
      <c r="N8" s="65" t="n"/>
      <c r="O8" s="66" t="n"/>
    </row>
    <row r="9">
      <c r="A9" s="8" t="n"/>
      <c r="B9" s="12" t="n">
        <v>44718</v>
      </c>
      <c r="C9" s="17" t="n">
        <v>112</v>
      </c>
      <c r="D9" s="17" t="n">
        <v>101</v>
      </c>
      <c r="E9" s="18">
        <f>D9/C9</f>
        <v/>
      </c>
      <c r="F9" s="17" t="n">
        <v>11</v>
      </c>
      <c r="G9" s="18">
        <f>F9/C9</f>
        <v/>
      </c>
      <c r="H9" s="17" t="n"/>
      <c r="I9" s="33" t="n"/>
      <c r="J9" s="17" t="n"/>
      <c r="K9" s="33" t="n"/>
      <c r="L9" s="34" t="n"/>
      <c r="M9" s="34" t="n"/>
      <c r="N9" s="17" t="n">
        <v>1</v>
      </c>
      <c r="O9" s="19" t="n">
        <v>0.99</v>
      </c>
    </row>
    <row r="10">
      <c r="A10" s="8" t="n"/>
      <c r="B10" s="12" t="n">
        <v>44719</v>
      </c>
      <c r="C10" s="17" t="n">
        <v>112</v>
      </c>
      <c r="D10" s="17" t="n">
        <v>102</v>
      </c>
      <c r="E10" s="18">
        <f>D10/C10</f>
        <v/>
      </c>
      <c r="F10" s="17" t="n">
        <v>10</v>
      </c>
      <c r="G10" s="18">
        <f>F10/C10</f>
        <v/>
      </c>
      <c r="H10" s="17" t="n"/>
      <c r="I10" s="33" t="n"/>
      <c r="J10" s="17" t="n"/>
      <c r="K10" s="33" t="n"/>
      <c r="L10" s="34" t="n"/>
      <c r="M10" s="34" t="n"/>
      <c r="N10" s="17" t="n">
        <v>0</v>
      </c>
      <c r="O10" s="19" t="n">
        <v>1</v>
      </c>
    </row>
    <row r="11">
      <c r="A11" s="8" t="n"/>
      <c r="B11" s="12" t="n">
        <v>44720</v>
      </c>
      <c r="C11" s="17" t="n">
        <v>131</v>
      </c>
      <c r="D11" s="17" t="n">
        <v>109</v>
      </c>
      <c r="E11" s="18">
        <f>D11/C11</f>
        <v/>
      </c>
      <c r="F11" s="17" t="n">
        <v>22</v>
      </c>
      <c r="G11" s="18">
        <f>F11/C11</f>
        <v/>
      </c>
      <c r="H11" s="17" t="n"/>
      <c r="I11" s="33" t="n"/>
      <c r="J11" s="17" t="n"/>
      <c r="K11" s="33" t="n"/>
      <c r="L11" s="34" t="n"/>
      <c r="M11" s="34" t="n"/>
      <c r="N11" s="17" t="n">
        <v>0</v>
      </c>
      <c r="O11" s="19" t="n">
        <v>1</v>
      </c>
    </row>
    <row r="12">
      <c r="A12" s="8" t="n"/>
      <c r="B12" s="12" t="n">
        <v>44721</v>
      </c>
      <c r="C12" s="17" t="n">
        <v>123</v>
      </c>
      <c r="D12" s="17" t="n">
        <v>112</v>
      </c>
      <c r="E12" s="18">
        <f>D12/C12</f>
        <v/>
      </c>
      <c r="F12" s="17" t="n">
        <v>11</v>
      </c>
      <c r="G12" s="18">
        <f>F12/C12</f>
        <v/>
      </c>
      <c r="H12" s="17" t="n"/>
      <c r="I12" s="33" t="n"/>
      <c r="J12" s="17" t="n"/>
      <c r="K12" s="33" t="n"/>
      <c r="L12" s="34" t="n"/>
      <c r="M12" s="34" t="n"/>
      <c r="N12" s="17" t="n">
        <v>0</v>
      </c>
      <c r="O12" s="19" t="n">
        <v>1</v>
      </c>
    </row>
    <row r="13">
      <c r="A13" s="8" t="n"/>
      <c r="B13" s="12" t="n">
        <v>44722</v>
      </c>
      <c r="C13" s="17" t="n">
        <v>93</v>
      </c>
      <c r="D13" s="17" t="n">
        <v>88</v>
      </c>
      <c r="E13" s="18">
        <f>D13/C13</f>
        <v/>
      </c>
      <c r="F13" s="17" t="n">
        <v>5</v>
      </c>
      <c r="G13" s="18">
        <f>F13/C13</f>
        <v/>
      </c>
      <c r="H13" s="17" t="n"/>
      <c r="I13" s="33" t="n"/>
      <c r="J13" s="17" t="n"/>
      <c r="K13" s="33" t="n"/>
      <c r="L13" s="34" t="n"/>
      <c r="M13" s="34" t="n"/>
      <c r="N13" s="17" t="n">
        <v>0</v>
      </c>
      <c r="O13" s="19" t="n">
        <v>1</v>
      </c>
    </row>
    <row r="14">
      <c r="A14" s="8" t="n"/>
      <c r="B14" s="12" t="n">
        <v>44723</v>
      </c>
      <c r="C14" s="17" t="n">
        <v>55</v>
      </c>
      <c r="D14" s="17" t="n">
        <v>30</v>
      </c>
      <c r="E14" s="18">
        <f>D14/C14</f>
        <v/>
      </c>
      <c r="F14" s="17" t="n">
        <v>25</v>
      </c>
      <c r="G14" s="18">
        <f>F14/C14</f>
        <v/>
      </c>
      <c r="H14" s="17" t="n"/>
      <c r="I14" s="33" t="n"/>
      <c r="J14" s="17" t="n"/>
      <c r="K14" s="33" t="n"/>
      <c r="L14" s="34" t="n"/>
      <c r="M14" s="34" t="n"/>
      <c r="N14" s="17" t="n">
        <v>0</v>
      </c>
      <c r="O14" s="19" t="n">
        <v>1</v>
      </c>
    </row>
    <row r="15">
      <c r="A15" s="8" t="n"/>
      <c r="B15" s="64" t="inlineStr">
        <is>
          <t>Domingo</t>
        </is>
      </c>
      <c r="C15" s="65" t="n"/>
      <c r="D15" s="65" t="n"/>
      <c r="E15" s="65" t="n"/>
      <c r="F15" s="65" t="n"/>
      <c r="G15" s="65" t="n"/>
      <c r="H15" s="65" t="n"/>
      <c r="I15" s="65" t="n"/>
      <c r="J15" s="65" t="n"/>
      <c r="K15" s="65" t="n"/>
      <c r="L15" s="65" t="n"/>
      <c r="M15" s="65" t="n"/>
      <c r="N15" s="65" t="n"/>
      <c r="O15" s="66" t="n"/>
    </row>
    <row r="16">
      <c r="A16" s="8" t="n"/>
      <c r="B16" s="12" t="n">
        <v>44725</v>
      </c>
      <c r="C16" s="17" t="n">
        <v>112</v>
      </c>
      <c r="D16" s="17" t="n">
        <v>104</v>
      </c>
      <c r="E16" s="18">
        <f>D16/C16</f>
        <v/>
      </c>
      <c r="F16" s="17" t="n">
        <v>8</v>
      </c>
      <c r="G16" s="18">
        <f>F16/C16</f>
        <v/>
      </c>
      <c r="H16" s="17" t="n"/>
      <c r="I16" s="33" t="n"/>
      <c r="J16" s="17" t="n"/>
      <c r="K16" s="33" t="n"/>
      <c r="L16" s="34" t="n"/>
      <c r="M16" s="34" t="n"/>
      <c r="N16" s="17" t="n">
        <v>1</v>
      </c>
      <c r="O16" s="19" t="n">
        <v>0.99</v>
      </c>
    </row>
    <row r="17">
      <c r="A17" s="8" t="n"/>
      <c r="B17" s="12" t="n">
        <v>44726</v>
      </c>
      <c r="C17" s="17" t="n">
        <v>109</v>
      </c>
      <c r="D17" s="17" t="n">
        <v>100</v>
      </c>
      <c r="E17" s="18">
        <f>D17/C17</f>
        <v/>
      </c>
      <c r="F17" s="17" t="n">
        <v>9</v>
      </c>
      <c r="G17" s="18">
        <f>F17/C17</f>
        <v/>
      </c>
      <c r="H17" s="17" t="n"/>
      <c r="I17" s="33" t="n"/>
      <c r="J17" s="17" t="n"/>
      <c r="K17" s="33" t="n"/>
      <c r="L17" s="34" t="n"/>
      <c r="M17" s="34" t="n"/>
      <c r="N17" s="17" t="n">
        <v>1</v>
      </c>
      <c r="O17" s="19" t="n">
        <v>0.99</v>
      </c>
    </row>
    <row r="18">
      <c r="A18" s="8" t="n"/>
      <c r="B18" s="12" t="n">
        <v>44727</v>
      </c>
      <c r="C18" s="17" t="n">
        <v>38</v>
      </c>
      <c r="D18" s="17" t="n">
        <v>18</v>
      </c>
      <c r="E18" s="18">
        <f>D18/C18</f>
        <v/>
      </c>
      <c r="F18" s="17" t="n">
        <v>20</v>
      </c>
      <c r="G18" s="18">
        <f>F18/C18</f>
        <v/>
      </c>
      <c r="H18" s="17" t="n"/>
      <c r="I18" s="33" t="n"/>
      <c r="J18" s="17" t="n"/>
      <c r="K18" s="33" t="n"/>
      <c r="L18" s="34" t="n"/>
      <c r="M18" s="34" t="n"/>
      <c r="N18" s="17" t="n">
        <v>0</v>
      </c>
      <c r="O18" s="19" t="n">
        <v>1</v>
      </c>
    </row>
    <row r="19">
      <c r="A19" s="8" t="n"/>
      <c r="B19" s="12" t="n">
        <v>44728</v>
      </c>
      <c r="C19" s="17" t="n">
        <v>60</v>
      </c>
      <c r="D19" s="17" t="n">
        <v>0</v>
      </c>
      <c r="E19" s="18">
        <f>D19/C19</f>
        <v/>
      </c>
      <c r="F19" s="17" t="n">
        <v>60</v>
      </c>
      <c r="G19" s="18">
        <f>F19/C19</f>
        <v/>
      </c>
      <c r="H19" s="17" t="n"/>
      <c r="I19" s="33" t="n"/>
      <c r="J19" s="17" t="n"/>
      <c r="K19" s="33" t="n"/>
      <c r="L19" s="34" t="n"/>
      <c r="M19" s="34" t="n"/>
      <c r="N19" s="17" t="n">
        <v>0</v>
      </c>
      <c r="O19" s="19" t="n">
        <v>1</v>
      </c>
    </row>
    <row r="20">
      <c r="A20" s="8" t="n"/>
      <c r="B20" s="12" t="n">
        <v>44729</v>
      </c>
      <c r="C20" s="17" t="n">
        <v>95</v>
      </c>
      <c r="D20" s="17" t="n">
        <v>91</v>
      </c>
      <c r="E20" s="18">
        <f>D20/C20</f>
        <v/>
      </c>
      <c r="F20" s="17" t="n">
        <v>4</v>
      </c>
      <c r="G20" s="18">
        <f>F20/C20</f>
        <v/>
      </c>
      <c r="H20" s="17" t="n"/>
      <c r="I20" s="33" t="n"/>
      <c r="J20" s="17" t="n"/>
      <c r="K20" s="33" t="n"/>
      <c r="L20" s="34" t="n"/>
      <c r="M20" s="34" t="n"/>
      <c r="N20" s="17" t="n">
        <v>0</v>
      </c>
      <c r="O20" s="19" t="n">
        <v>1</v>
      </c>
    </row>
    <row r="21">
      <c r="A21" s="8" t="n"/>
      <c r="B21" s="12" t="n">
        <v>44730</v>
      </c>
      <c r="C21" s="17" t="n">
        <v>40</v>
      </c>
      <c r="D21" s="17" t="n">
        <v>18</v>
      </c>
      <c r="E21" s="18">
        <f>D21/C21</f>
        <v/>
      </c>
      <c r="F21" s="17" t="n">
        <v>22</v>
      </c>
      <c r="G21" s="18">
        <f>F21/C21</f>
        <v/>
      </c>
      <c r="H21" s="17" t="n"/>
      <c r="I21" s="33" t="n"/>
      <c r="J21" s="17" t="n"/>
      <c r="K21" s="33" t="n"/>
      <c r="L21" s="34" t="n"/>
      <c r="M21" s="34" t="n"/>
      <c r="N21" s="17" t="n">
        <v>0</v>
      </c>
      <c r="O21" s="19" t="n">
        <v>1</v>
      </c>
    </row>
    <row r="22">
      <c r="A22" s="8" t="n"/>
      <c r="B22" s="64" t="inlineStr">
        <is>
          <t>Domingo</t>
        </is>
      </c>
      <c r="C22" s="65" t="n"/>
      <c r="D22" s="65" t="n"/>
      <c r="E22" s="65" t="n"/>
      <c r="F22" s="65" t="n"/>
      <c r="G22" s="65" t="n"/>
      <c r="H22" s="65" t="n"/>
      <c r="I22" s="65" t="n"/>
      <c r="J22" s="65" t="n"/>
      <c r="K22" s="65" t="n"/>
      <c r="L22" s="65" t="n"/>
      <c r="M22" s="65" t="n"/>
      <c r="N22" s="65" t="n"/>
      <c r="O22" s="66" t="n"/>
    </row>
    <row r="23">
      <c r="A23" s="8" t="n"/>
      <c r="B23" s="12" t="n">
        <v>44732</v>
      </c>
      <c r="C23" s="17" t="n">
        <v>102</v>
      </c>
      <c r="D23" s="17" t="n">
        <v>93</v>
      </c>
      <c r="E23" s="18">
        <f>D23/C23</f>
        <v/>
      </c>
      <c r="F23" s="17" t="n">
        <v>9</v>
      </c>
      <c r="G23" s="18">
        <f>F23/C23</f>
        <v/>
      </c>
      <c r="H23" s="17" t="n"/>
      <c r="I23" s="33" t="n"/>
      <c r="J23" s="17" t="n"/>
      <c r="K23" s="33" t="n"/>
      <c r="L23" s="34" t="n"/>
      <c r="M23" s="34" t="n"/>
      <c r="N23" s="17" t="n">
        <v>2</v>
      </c>
      <c r="O23" s="19" t="n">
        <v>0.98</v>
      </c>
    </row>
    <row r="24">
      <c r="A24" s="8" t="n"/>
      <c r="B24" s="12" t="n">
        <v>44733</v>
      </c>
      <c r="C24" s="17" t="n">
        <v>107</v>
      </c>
      <c r="D24" s="17" t="n">
        <v>96</v>
      </c>
      <c r="E24" s="18">
        <f>D24/C24</f>
        <v/>
      </c>
      <c r="F24" s="17" t="n">
        <v>11</v>
      </c>
      <c r="G24" s="18">
        <f>F24/C24</f>
        <v/>
      </c>
      <c r="H24" s="17" t="n"/>
      <c r="I24" s="33" t="n"/>
      <c r="J24" s="17" t="n"/>
      <c r="K24" s="33" t="n"/>
      <c r="L24" s="34" t="n"/>
      <c r="M24" s="34" t="n"/>
      <c r="N24" s="17" t="n">
        <v>2</v>
      </c>
      <c r="O24" s="19" t="n">
        <v>0.99</v>
      </c>
    </row>
    <row r="25">
      <c r="A25" s="8" t="n"/>
      <c r="B25" s="12" t="n">
        <v>44734</v>
      </c>
      <c r="C25" s="17" t="n">
        <v>75</v>
      </c>
      <c r="D25" s="17" t="n">
        <v>72</v>
      </c>
      <c r="E25" s="18">
        <f>D25/C25</f>
        <v/>
      </c>
      <c r="F25" s="17" t="n">
        <v>3</v>
      </c>
      <c r="G25" s="18">
        <f>F25/C25</f>
        <v/>
      </c>
      <c r="H25" s="17" t="n"/>
      <c r="I25" s="33" t="n"/>
      <c r="J25" s="17" t="n"/>
      <c r="K25" s="33" t="n"/>
      <c r="L25" s="34" t="n"/>
      <c r="M25" s="34" t="n"/>
      <c r="N25" s="17" t="n">
        <v>0</v>
      </c>
      <c r="O25" s="19" t="n">
        <v>1</v>
      </c>
    </row>
    <row r="26">
      <c r="A26" s="8" t="n"/>
      <c r="B26" s="12" t="n">
        <v>44735</v>
      </c>
      <c r="C26" s="17" t="n">
        <v>129</v>
      </c>
      <c r="D26" s="17" t="n">
        <v>70</v>
      </c>
      <c r="E26" s="18">
        <f>D26/C26</f>
        <v/>
      </c>
      <c r="F26" s="17" t="n">
        <v>59</v>
      </c>
      <c r="G26" s="18">
        <f>F26/C26</f>
        <v/>
      </c>
      <c r="H26" s="17" t="n"/>
      <c r="I26" s="33" t="n"/>
      <c r="J26" s="17" t="n"/>
      <c r="K26" s="33" t="n"/>
      <c r="L26" s="34" t="n"/>
      <c r="M26" s="34" t="n"/>
      <c r="N26" s="17" t="n">
        <v>46</v>
      </c>
      <c r="O26" s="19" t="n">
        <v>0.78</v>
      </c>
    </row>
    <row r="27">
      <c r="A27" s="8" t="n"/>
      <c r="B27" s="12" t="n">
        <v>44736</v>
      </c>
      <c r="C27" s="17" t="n">
        <v>85</v>
      </c>
      <c r="D27" s="17" t="n">
        <v>74</v>
      </c>
      <c r="E27" s="18">
        <f>D27/C27</f>
        <v/>
      </c>
      <c r="F27" s="17" t="n">
        <v>11</v>
      </c>
      <c r="G27" s="18">
        <f>F27/C27</f>
        <v/>
      </c>
      <c r="H27" s="17" t="n"/>
      <c r="I27" s="17" t="n"/>
      <c r="J27" s="17" t="n"/>
      <c r="K27" s="17" t="n"/>
      <c r="L27" s="17" t="n"/>
      <c r="M27" s="17" t="n"/>
      <c r="N27" s="17" t="n">
        <v>4</v>
      </c>
      <c r="O27" s="19" t="n">
        <v>0.91</v>
      </c>
    </row>
    <row r="28">
      <c r="B28" s="12" t="n">
        <v>44737</v>
      </c>
      <c r="C28" s="17" t="n">
        <v>41</v>
      </c>
      <c r="D28" s="17" t="n">
        <v>28</v>
      </c>
      <c r="E28" s="18">
        <f>D28/C28</f>
        <v/>
      </c>
      <c r="F28" s="17" t="n">
        <v>13</v>
      </c>
      <c r="G28" s="18">
        <f>F28/C28</f>
        <v/>
      </c>
      <c r="H28" s="17" t="n"/>
      <c r="I28" s="17" t="n"/>
      <c r="J28" s="17" t="n"/>
      <c r="K28" s="17" t="n"/>
      <c r="L28" s="17" t="n"/>
      <c r="M28" s="17" t="n"/>
      <c r="N28" s="17" t="n">
        <v>0</v>
      </c>
      <c r="O28" s="19" t="n">
        <v>1</v>
      </c>
    </row>
    <row r="29">
      <c r="B29" s="64" t="inlineStr">
        <is>
          <t>Domingo</t>
        </is>
      </c>
      <c r="C29" s="65" t="n"/>
      <c r="D29" s="65" t="n"/>
      <c r="E29" s="65" t="n"/>
      <c r="F29" s="65" t="n"/>
      <c r="G29" s="65" t="n"/>
      <c r="H29" s="65" t="n"/>
      <c r="I29" s="65" t="n"/>
      <c r="J29" s="65" t="n"/>
      <c r="K29" s="65" t="n"/>
      <c r="L29" s="65" t="n"/>
      <c r="M29" s="65" t="n"/>
      <c r="N29" s="65" t="n"/>
      <c r="O29" s="66" t="n"/>
    </row>
    <row r="30">
      <c r="B30" s="12" t="n">
        <v>44739</v>
      </c>
      <c r="C30" s="17" t="n">
        <v>70</v>
      </c>
      <c r="D30" s="17" t="n">
        <v>63</v>
      </c>
      <c r="E30" s="18">
        <f>D30/C30</f>
        <v/>
      </c>
      <c r="F30" s="17" t="n">
        <v>7</v>
      </c>
      <c r="G30" s="18">
        <f>F30/C30</f>
        <v/>
      </c>
      <c r="H30" s="17" t="n"/>
      <c r="I30" s="17" t="n"/>
      <c r="J30" s="17" t="n"/>
      <c r="K30" s="17" t="n"/>
      <c r="L30" s="17" t="n"/>
      <c r="M30" s="17" t="n"/>
      <c r="N30" s="17" t="n">
        <v>0</v>
      </c>
      <c r="O30" s="19" t="n">
        <v>1</v>
      </c>
    </row>
    <row r="31">
      <c r="B31" s="12" t="n">
        <v>44740</v>
      </c>
      <c r="C31" s="17" t="n">
        <v>82</v>
      </c>
      <c r="D31" s="17" t="n">
        <v>79</v>
      </c>
      <c r="E31" s="18">
        <f>D31/C31</f>
        <v/>
      </c>
      <c r="F31" s="17" t="n">
        <v>3</v>
      </c>
      <c r="G31" s="18">
        <f>F31/C31</f>
        <v/>
      </c>
      <c r="H31" s="17" t="n"/>
      <c r="I31" s="17" t="n"/>
      <c r="J31" s="17" t="n"/>
      <c r="K31" s="17" t="n"/>
      <c r="L31" s="17" t="n"/>
      <c r="M31" s="17" t="n"/>
      <c r="N31" s="17" t="n">
        <v>1</v>
      </c>
      <c r="O31" s="19" t="n">
        <v>0.99</v>
      </c>
    </row>
    <row r="32">
      <c r="B32" s="12" t="n">
        <v>44741</v>
      </c>
      <c r="C32" s="21" t="n">
        <v>92</v>
      </c>
      <c r="D32" s="21" t="n">
        <v>85</v>
      </c>
      <c r="E32" s="18">
        <f>D32/C32</f>
        <v/>
      </c>
      <c r="F32" s="21" t="n">
        <v>7</v>
      </c>
      <c r="G32" s="18">
        <f>F32/C32</f>
        <v/>
      </c>
      <c r="H32" s="21" t="n"/>
      <c r="I32" s="21" t="n"/>
      <c r="J32" s="21" t="n"/>
      <c r="K32" s="21" t="n"/>
      <c r="L32" s="21" t="n"/>
      <c r="M32" s="21" t="n"/>
      <c r="N32" s="21" t="n">
        <v>0</v>
      </c>
      <c r="O32" s="35" t="n">
        <v>1</v>
      </c>
    </row>
    <row r="33" ht="15.75" customHeight="1" thickBot="1">
      <c r="B33" s="12" t="n">
        <v>44742</v>
      </c>
      <c r="C33" s="21" t="n">
        <v>98</v>
      </c>
      <c r="D33" s="21" t="n">
        <v>92</v>
      </c>
      <c r="E33" s="18">
        <f>D33/C33</f>
        <v/>
      </c>
      <c r="F33" s="21" t="n">
        <v>6</v>
      </c>
      <c r="G33" s="18">
        <f>F33/C33</f>
        <v/>
      </c>
      <c r="H33" s="21" t="n"/>
      <c r="I33" s="21" t="n"/>
      <c r="J33" s="21" t="n"/>
      <c r="K33" s="21" t="n"/>
      <c r="L33" s="21" t="n"/>
      <c r="M33" s="21" t="n"/>
      <c r="N33" s="21" t="n">
        <v>0</v>
      </c>
      <c r="O33" s="35" t="n">
        <v>1</v>
      </c>
    </row>
    <row r="34" ht="15.75" customHeight="1" thickBot="1">
      <c r="B34" s="46" t="inlineStr">
        <is>
          <t>MÉDIA</t>
        </is>
      </c>
      <c r="C34" s="47">
        <f>IFERROR(AVERAGE(C4:C33),0)</f>
        <v/>
      </c>
      <c r="D34" s="48">
        <f>IFERROR(AVERAGE(D4:D33),0)</f>
        <v/>
      </c>
      <c r="E34" s="49">
        <f>IFERROR(AVERAGE(E4:E33),0)</f>
        <v/>
      </c>
      <c r="F34" s="47">
        <f>IFERROR(AVERAGE(F4:F33),0)</f>
        <v/>
      </c>
      <c r="G34" s="49">
        <f>IFERROR(AVERAGE(G4:M33),0)</f>
        <v/>
      </c>
      <c r="H34" s="44">
        <f>IFERROR(AVERAGE(H4:H33),0)</f>
        <v/>
      </c>
      <c r="I34" s="23">
        <f>IFERROR(AVERAGE(I4:I33),0)</f>
        <v/>
      </c>
      <c r="J34" s="23">
        <f>IFERROR(AVERAGE(J4:J33),0)</f>
        <v/>
      </c>
      <c r="K34" s="23">
        <f>IFERROR(AVERAGE(K4:K33),0)</f>
        <v/>
      </c>
      <c r="L34" s="23">
        <f>IFERROR(AVERAGE(L4:L33),0)</f>
        <v/>
      </c>
      <c r="M34" s="39">
        <f>IFERROR(AVERAGE(M4:M33),0)</f>
        <v/>
      </c>
      <c r="N34" s="47">
        <f>IFERROR(AVERAGE(N4:N33),0)</f>
        <v/>
      </c>
      <c r="O34" s="42">
        <f>IFERROR(AVERAGE(O4:O33),0)</f>
        <v/>
      </c>
    </row>
    <row r="35" ht="15.75" customHeight="1" thickBot="1">
      <c r="B35" s="46" t="inlineStr">
        <is>
          <t>SOMA</t>
        </is>
      </c>
      <c r="C35" s="45">
        <f>SUM(C4:C33)</f>
        <v/>
      </c>
      <c r="D35" s="43">
        <f>SUM(D4:D33)</f>
        <v/>
      </c>
      <c r="E35" s="40">
        <f>D35/C35</f>
        <v/>
      </c>
      <c r="F35" s="43">
        <f>SUM(F4:F33)</f>
        <v/>
      </c>
      <c r="G35" s="40">
        <f>F35/C35</f>
        <v/>
      </c>
      <c r="H35" s="29">
        <f>SUM(H4:H33)</f>
        <v/>
      </c>
      <c r="I35" s="36">
        <f>SUM(I4:I33)</f>
        <v/>
      </c>
      <c r="J35" s="28">
        <f>SUM(J4:J33)</f>
        <v/>
      </c>
      <c r="K35" s="37">
        <f>SUM(K4:K33)</f>
        <v/>
      </c>
      <c r="L35" s="38">
        <f>SUM(L4:L33)</f>
        <v/>
      </c>
      <c r="M35" s="41">
        <f>SUM(M4:M33)</f>
        <v/>
      </c>
      <c r="N35" s="43">
        <f>SUM(N4:N33)</f>
        <v/>
      </c>
      <c r="O35" s="50">
        <f>1-(N35/C35)</f>
        <v/>
      </c>
    </row>
  </sheetData>
  <mergeCells count="5">
    <mergeCell ref="B2:O2"/>
    <mergeCell ref="B8:O8"/>
    <mergeCell ref="B15:O15"/>
    <mergeCell ref="B22:O22"/>
    <mergeCell ref="B29:O29"/>
  </mergeCells>
  <pageMargins left="0.511811024" right="0.511811024" top="0.787401575" bottom="0.787401575" header="0.31496062" footer="0.31496062"/>
  <pageSetup orientation="portrait" paperSize="9"/>
</worksheet>
</file>

<file path=xl/worksheets/sheet3.xml><?xml version="1.0" encoding="utf-8"?>
<worksheet xmlns="http://schemas.openxmlformats.org/spreadsheetml/2006/main">
  <sheetPr codeName="Planilha3">
    <outlinePr summaryBelow="1" summaryRight="1"/>
    <pageSetUpPr/>
  </sheetPr>
  <dimension ref="A1:AD36"/>
  <sheetViews>
    <sheetView showGridLines="0" tabSelected="1" workbookViewId="0">
      <selection activeCell="Q37" sqref="Q37"/>
    </sheetView>
  </sheetViews>
  <sheetFormatPr baseColWidth="8" defaultRowHeight="15"/>
  <cols>
    <col width="3.7109375" customWidth="1" style="1" min="1" max="1"/>
    <col width="7.140625" bestFit="1" customWidth="1" style="3" min="2" max="2"/>
    <col width="7" bestFit="1" customWidth="1" style="8" min="3" max="3"/>
    <col width="9.42578125" bestFit="1" customWidth="1" style="8" min="4" max="4"/>
    <col width="7" bestFit="1" customWidth="1" style="9" min="5" max="5"/>
    <col width="10.42578125" bestFit="1" customWidth="1" style="8" min="6" max="6"/>
    <col width="7.28515625" customWidth="1" style="9" min="7" max="7"/>
    <col hidden="1" width="7.28515625" customWidth="1" style="8" min="8" max="11"/>
    <col hidden="1" width="13.42578125" customWidth="1" style="8" min="12" max="12"/>
    <col hidden="1" width="11.7109375" customWidth="1" style="8" min="13" max="13"/>
    <col width="31" bestFit="1" customWidth="1" style="8" min="14" max="14"/>
    <col width="11" customWidth="1" style="9" min="15" max="15"/>
    <col width="9.140625" customWidth="1" style="1" min="16" max="16"/>
  </cols>
  <sheetData>
    <row r="1" ht="15.75" customHeight="1" thickBot="1">
      <c r="A1" t="n">
        <v>1</v>
      </c>
    </row>
    <row r="2" ht="15.75" customHeight="1" thickBot="1">
      <c r="A2" s="3" t="n"/>
      <c r="B2" s="67" t="n">
        <v>44872</v>
      </c>
      <c r="C2" s="62" t="n"/>
      <c r="D2" s="62" t="n"/>
      <c r="E2" s="62" t="n"/>
      <c r="F2" s="62" t="n"/>
      <c r="G2" s="62" t="n"/>
      <c r="H2" s="62" t="n"/>
      <c r="I2" s="62" t="n"/>
      <c r="J2" s="62" t="n"/>
      <c r="K2" s="62" t="n"/>
      <c r="L2" s="62" t="n"/>
      <c r="M2" s="62" t="n"/>
      <c r="N2" s="62" t="n"/>
      <c r="O2" s="63" t="n"/>
      <c r="P2" s="2" t="n"/>
    </row>
    <row r="3" ht="15.75" customHeight="1" thickBot="1">
      <c r="A3" s="4" t="n"/>
      <c r="B3" s="56" t="inlineStr">
        <is>
          <t>Dia</t>
        </is>
      </c>
      <c r="C3" s="57" t="inlineStr">
        <is>
          <t>Total</t>
        </is>
      </c>
      <c r="D3" s="57" t="inlineStr">
        <is>
          <t>Atendidas</t>
        </is>
      </c>
      <c r="E3" s="6" t="inlineStr">
        <is>
          <t>%</t>
        </is>
      </c>
      <c r="F3" s="57" t="inlineStr">
        <is>
          <t>Rejeitadas</t>
        </is>
      </c>
      <c r="G3" s="6" t="inlineStr">
        <is>
          <t>%</t>
        </is>
      </c>
      <c r="H3" s="57" t="inlineStr">
        <is>
          <t>PF</t>
        </is>
      </c>
      <c r="I3" s="57" t="inlineStr">
        <is>
          <t>%</t>
        </is>
      </c>
      <c r="J3" s="57" t="inlineStr">
        <is>
          <t>PJ</t>
        </is>
      </c>
      <c r="K3" s="57" t="inlineStr">
        <is>
          <t>%</t>
        </is>
      </c>
      <c r="L3" s="57" t="inlineStr">
        <is>
          <t>TMA Assessoria</t>
        </is>
      </c>
      <c r="M3" s="57" t="inlineStr">
        <is>
          <t>TMA Conversa</t>
        </is>
      </c>
      <c r="N3" s="57" t="inlineStr">
        <is>
          <t>Rejeitadas (atendimento assessoria)</t>
        </is>
      </c>
      <c r="O3" s="7" t="inlineStr">
        <is>
          <t>SLA</t>
        </is>
      </c>
      <c r="P3" s="2" t="n"/>
    </row>
    <row r="4" hidden="1">
      <c r="A4" s="8" t="n"/>
      <c r="B4" s="12" t="n"/>
      <c r="C4" s="13" t="n"/>
      <c r="D4" s="13" t="n"/>
      <c r="E4" s="18" t="n"/>
      <c r="F4" s="13" t="n"/>
      <c r="G4" s="18" t="n"/>
      <c r="H4" s="13" t="n"/>
      <c r="I4" s="31" t="n"/>
      <c r="J4" s="13" t="n"/>
      <c r="K4" s="31" t="n"/>
      <c r="L4" s="32" t="n"/>
      <c r="M4" s="32" t="n"/>
      <c r="N4" s="13" t="n"/>
      <c r="O4" s="19" t="n"/>
    </row>
    <row r="5" hidden="1">
      <c r="A5" s="8" t="n"/>
      <c r="B5" s="12" t="n"/>
      <c r="C5" s="17" t="n"/>
      <c r="D5" s="17" t="n"/>
      <c r="E5" s="18" t="n"/>
      <c r="F5" s="17" t="n"/>
      <c r="G5" s="18" t="n"/>
      <c r="H5" s="17" t="n"/>
      <c r="I5" s="33" t="n"/>
      <c r="J5" s="17" t="n"/>
      <c r="K5" s="33" t="n"/>
      <c r="L5" s="34" t="n"/>
      <c r="M5" s="34" t="n"/>
      <c r="N5" s="17" t="n"/>
      <c r="O5" s="19" t="n"/>
    </row>
    <row r="6" hidden="1">
      <c r="A6" s="8" t="n"/>
      <c r="B6" s="64" t="inlineStr">
        <is>
          <t>Domingo</t>
        </is>
      </c>
      <c r="C6" s="65" t="n"/>
      <c r="D6" s="65" t="n"/>
      <c r="E6" s="65" t="n"/>
      <c r="F6" s="65" t="n"/>
      <c r="G6" s="65" t="n"/>
      <c r="H6" s="65" t="n"/>
      <c r="I6" s="65" t="n"/>
      <c r="J6" s="65" t="n"/>
      <c r="K6" s="65" t="n"/>
      <c r="L6" s="65" t="n"/>
      <c r="M6" s="65" t="n"/>
      <c r="N6" s="65" t="n"/>
      <c r="O6" s="66" t="n"/>
    </row>
    <row r="7">
      <c r="A7" s="8" t="inlineStr">
        <is>
          <t>a</t>
        </is>
      </c>
      <c r="B7" s="12" t="n">
        <v>44865</v>
      </c>
      <c r="C7" s="17" t="n">
        <v>74</v>
      </c>
      <c r="D7" s="17" t="n">
        <v>64</v>
      </c>
      <c r="E7" s="18" t="n">
        <v>0.77</v>
      </c>
      <c r="F7" s="17" t="n">
        <v>10</v>
      </c>
      <c r="G7" s="18" t="n">
        <v>0.23</v>
      </c>
      <c r="H7" s="17" t="n"/>
      <c r="I7" s="33" t="n"/>
      <c r="J7" s="17" t="n"/>
      <c r="K7" s="33" t="n"/>
      <c r="L7" s="34" t="n"/>
      <c r="M7" s="34" t="n"/>
      <c r="N7" s="17" t="n">
        <v>6</v>
      </c>
      <c r="O7" s="19" t="n">
        <v>0.87</v>
      </c>
      <c r="P7" s="55" t="n"/>
      <c r="Q7" s="54" t="n"/>
      <c r="T7" s="51" t="n"/>
      <c r="V7" s="51" t="n"/>
      <c r="X7" s="51" t="n"/>
      <c r="Z7" s="51" t="n"/>
      <c r="AA7" s="52" t="n"/>
      <c r="AB7" s="52" t="n"/>
      <c r="AD7" s="51" t="n"/>
    </row>
    <row r="8">
      <c r="A8" s="8" t="inlineStr">
        <is>
          <t>b</t>
        </is>
      </c>
      <c r="B8" s="12" t="n">
        <v>44866</v>
      </c>
      <c r="C8" s="17" t="n">
        <v>96</v>
      </c>
      <c r="D8" s="17" t="n">
        <v>93</v>
      </c>
      <c r="E8" s="18" t="n">
        <v>0.91</v>
      </c>
      <c r="F8" s="17" t="n">
        <v>3</v>
      </c>
      <c r="G8" s="18" t="n">
        <v>0.09</v>
      </c>
      <c r="H8" s="17" t="n"/>
      <c r="I8" s="33" t="n"/>
      <c r="J8" s="17" t="n"/>
      <c r="K8" s="33" t="n"/>
      <c r="L8" s="34" t="n"/>
      <c r="M8" s="34" t="n"/>
      <c r="N8" s="17" t="n">
        <v>0</v>
      </c>
      <c r="O8" s="19" t="n">
        <v>1</v>
      </c>
    </row>
    <row r="9">
      <c r="A9" s="8" t="inlineStr">
        <is>
          <t>c</t>
        </is>
      </c>
      <c r="B9" s="12" t="n">
        <v>44867</v>
      </c>
      <c r="C9" s="17" t="n">
        <v>32</v>
      </c>
      <c r="D9" s="17" t="n">
        <v>0</v>
      </c>
      <c r="E9" s="18" t="n">
        <v>0</v>
      </c>
      <c r="F9" s="17" t="n">
        <v>32</v>
      </c>
      <c r="G9" s="18" t="n">
        <v>1</v>
      </c>
      <c r="H9" s="17" t="n"/>
      <c r="I9" s="33" t="n"/>
      <c r="J9" s="17" t="n"/>
      <c r="K9" s="33" t="n"/>
      <c r="L9" s="34" t="n"/>
      <c r="M9" s="34" t="n"/>
      <c r="N9" s="17" t="n">
        <v>0</v>
      </c>
      <c r="O9" s="19" t="n">
        <v>1</v>
      </c>
      <c r="P9" s="53" t="n"/>
      <c r="Q9" t="inlineStr">
        <is>
          <t>XXXXXX</t>
        </is>
      </c>
      <c r="R9" t="n">
        <v>92</v>
      </c>
      <c r="S9" t="n">
        <v>80</v>
      </c>
      <c r="T9" s="51" t="n">
        <v>0.77</v>
      </c>
      <c r="U9" t="n">
        <v>12</v>
      </c>
      <c r="V9" s="51" t="n">
        <v>0.23</v>
      </c>
      <c r="W9" t="n">
        <v>89</v>
      </c>
      <c r="X9" s="51" t="n">
        <v>0.97</v>
      </c>
      <c r="Y9" t="n">
        <v>3</v>
      </c>
      <c r="Z9" s="51" t="n">
        <v>0.03</v>
      </c>
      <c r="AA9" s="52" t="n">
        <v>0</v>
      </c>
      <c r="AB9" s="52" t="n">
        <v>0.002847222222222222</v>
      </c>
      <c r="AC9" t="n">
        <v>0</v>
      </c>
      <c r="AD9" s="51" t="n">
        <v>1</v>
      </c>
    </row>
    <row r="10">
      <c r="A10" s="8" t="inlineStr">
        <is>
          <t>d</t>
        </is>
      </c>
      <c r="B10" s="12" t="n">
        <v>44868</v>
      </c>
      <c r="C10" s="17" t="n">
        <v>110</v>
      </c>
      <c r="D10" s="17" t="n">
        <v>105</v>
      </c>
      <c r="E10" s="18" t="n">
        <v>0.85</v>
      </c>
      <c r="F10" s="17" t="n">
        <v>5</v>
      </c>
      <c r="G10" s="18" t="n">
        <v>0.15</v>
      </c>
      <c r="H10" s="17" t="n"/>
      <c r="I10" s="33" t="n"/>
      <c r="J10" s="17" t="n"/>
      <c r="K10" s="33" t="n"/>
      <c r="L10" s="34" t="n"/>
      <c r="M10" s="34" t="n"/>
      <c r="N10" s="17" t="n">
        <v>0</v>
      </c>
      <c r="O10" s="19" t="n">
        <v>1</v>
      </c>
    </row>
    <row r="11">
      <c r="A11" s="8" t="inlineStr">
        <is>
          <t>f</t>
        </is>
      </c>
      <c r="B11" s="12" t="n">
        <v>44869</v>
      </c>
      <c r="C11" s="17" t="n">
        <v>129</v>
      </c>
      <c r="D11" s="17" t="n">
        <v>120</v>
      </c>
      <c r="E11" s="18" t="n">
        <v>0.82</v>
      </c>
      <c r="F11" s="17" t="n">
        <v>9</v>
      </c>
      <c r="G11" s="18" t="n">
        <v>0.18</v>
      </c>
      <c r="H11" s="17" t="n"/>
      <c r="I11" s="33" t="n"/>
      <c r="J11" s="17" t="n"/>
      <c r="K11" s="33" t="n"/>
      <c r="L11" s="34" t="n"/>
      <c r="M11" s="34" t="n"/>
      <c r="N11" s="17" t="n">
        <v>1</v>
      </c>
      <c r="O11" s="19" t="n">
        <v>0.99</v>
      </c>
    </row>
    <row r="12">
      <c r="A12" s="8" t="inlineStr">
        <is>
          <t>e</t>
        </is>
      </c>
      <c r="B12" s="12" t="n">
        <v>44870</v>
      </c>
      <c r="C12" s="17" t="n">
        <v>54</v>
      </c>
      <c r="D12" s="17" t="n">
        <v>25</v>
      </c>
      <c r="E12" s="18" t="n">
        <v>0.38</v>
      </c>
      <c r="F12" s="17" t="n">
        <v>29</v>
      </c>
      <c r="G12" s="18" t="n">
        <v>0.63</v>
      </c>
      <c r="H12" s="17" t="n"/>
      <c r="I12" s="33" t="n"/>
      <c r="J12" s="17" t="n"/>
      <c r="K12" s="33" t="n"/>
      <c r="L12" s="34" t="n"/>
      <c r="M12" s="34" t="n"/>
      <c r="N12" s="17" t="n">
        <v>0</v>
      </c>
      <c r="O12" s="19" t="n">
        <v>1</v>
      </c>
    </row>
    <row r="13" hidden="1">
      <c r="A13" s="8" t="n"/>
      <c r="B13" s="64" t="inlineStr">
        <is>
          <t>Domingo</t>
        </is>
      </c>
      <c r="C13" s="65" t="n"/>
      <c r="D13" s="65" t="n"/>
      <c r="E13" s="65" t="n"/>
      <c r="F13" s="65" t="n"/>
      <c r="G13" s="65" t="n"/>
      <c r="H13" s="65" t="n"/>
      <c r="I13" s="65" t="n"/>
      <c r="J13" s="65" t="n"/>
      <c r="K13" s="65" t="n"/>
      <c r="L13" s="65" t="n"/>
      <c r="M13" s="65" t="n"/>
      <c r="N13" s="65" t="n"/>
      <c r="O13" s="66" t="n"/>
    </row>
    <row r="14" hidden="1">
      <c r="A14" s="8" t="n"/>
      <c r="B14" s="12" t="n">
        <v>44753</v>
      </c>
      <c r="C14" s="17" t="n"/>
      <c r="D14" s="17" t="n"/>
      <c r="E14" s="18" t="n"/>
      <c r="F14" s="17" t="n"/>
      <c r="G14" s="18" t="n"/>
      <c r="H14" s="17" t="n"/>
      <c r="I14" s="33" t="n"/>
      <c r="J14" s="17" t="n"/>
      <c r="K14" s="33" t="n"/>
      <c r="L14" s="34" t="n"/>
      <c r="M14" s="34" t="n"/>
      <c r="N14" s="17" t="n"/>
      <c r="O14" s="19" t="n"/>
    </row>
    <row r="15" hidden="1">
      <c r="A15" s="8" t="n"/>
      <c r="B15" s="12" t="n">
        <v>44754</v>
      </c>
      <c r="C15" s="17" t="n"/>
      <c r="D15" s="17" t="n"/>
      <c r="E15" s="18" t="n"/>
      <c r="F15" s="17" t="n"/>
      <c r="G15" s="18" t="n"/>
      <c r="H15" s="17" t="n"/>
      <c r="I15" s="33" t="n"/>
      <c r="J15" s="17" t="n"/>
      <c r="K15" s="33" t="n"/>
      <c r="L15" s="34" t="n"/>
      <c r="M15" s="34" t="n"/>
      <c r="N15" s="17" t="n"/>
      <c r="O15" s="19" t="n"/>
    </row>
    <row r="16" hidden="1">
      <c r="A16" s="8" t="n"/>
      <c r="B16" s="12" t="n">
        <v>44755</v>
      </c>
      <c r="C16" s="17" t="n"/>
      <c r="D16" s="17" t="n"/>
      <c r="E16" s="18" t="n"/>
      <c r="F16" s="17" t="n"/>
      <c r="G16" s="18" t="n"/>
      <c r="H16" s="17" t="n"/>
      <c r="I16" s="33" t="n"/>
      <c r="J16" s="17" t="n"/>
      <c r="K16" s="33" t="n"/>
      <c r="L16" s="34" t="n"/>
      <c r="M16" s="34" t="n"/>
      <c r="N16" s="17" t="n"/>
      <c r="O16" s="19" t="n"/>
    </row>
    <row r="17" hidden="1">
      <c r="A17" s="8" t="n"/>
      <c r="B17" s="12" t="n">
        <v>44756</v>
      </c>
      <c r="C17" s="17" t="n"/>
      <c r="D17" s="17" t="n"/>
      <c r="E17" s="18" t="n"/>
      <c r="F17" s="17" t="n"/>
      <c r="G17" s="18" t="n"/>
      <c r="H17" s="17" t="n"/>
      <c r="I17" s="33" t="n"/>
      <c r="J17" s="17" t="n"/>
      <c r="K17" s="33" t="n"/>
      <c r="L17" s="34" t="n"/>
      <c r="M17" s="34" t="n"/>
      <c r="N17" s="17" t="n"/>
      <c r="O17" s="19" t="n"/>
    </row>
    <row r="18" hidden="1">
      <c r="A18" s="8" t="n"/>
      <c r="B18" s="12" t="n">
        <v>44757</v>
      </c>
      <c r="C18" s="17" t="n"/>
      <c r="D18" s="17" t="n"/>
      <c r="E18" s="18" t="n"/>
      <c r="F18" s="17" t="n"/>
      <c r="G18" s="18" t="n"/>
      <c r="H18" s="17" t="n"/>
      <c r="I18" s="33" t="n"/>
      <c r="J18" s="17" t="n"/>
      <c r="K18" s="33" t="n"/>
      <c r="L18" s="34" t="n"/>
      <c r="M18" s="34" t="n"/>
      <c r="N18" s="17" t="n"/>
      <c r="O18" s="19" t="n"/>
    </row>
    <row r="19" hidden="1">
      <c r="A19" s="8" t="n"/>
      <c r="B19" s="12" t="n">
        <v>44758</v>
      </c>
      <c r="C19" s="17" t="n"/>
      <c r="D19" s="17" t="n"/>
      <c r="E19" s="18" t="n"/>
      <c r="F19" s="17" t="n"/>
      <c r="G19" s="18" t="n"/>
      <c r="H19" s="17" t="n"/>
      <c r="I19" s="33" t="n"/>
      <c r="J19" s="17" t="n"/>
      <c r="K19" s="33" t="n"/>
      <c r="L19" s="34" t="n"/>
      <c r="M19" s="34" t="n"/>
      <c r="N19" s="17" t="n"/>
      <c r="O19" s="19" t="n"/>
    </row>
    <row r="20" hidden="1">
      <c r="A20" s="8" t="n"/>
      <c r="B20" s="64" t="inlineStr">
        <is>
          <t>Domingo</t>
        </is>
      </c>
      <c r="C20" s="65" t="n"/>
      <c r="D20" s="65" t="n"/>
      <c r="E20" s="65" t="n"/>
      <c r="F20" s="65" t="n"/>
      <c r="G20" s="65" t="n"/>
      <c r="H20" s="65" t="n"/>
      <c r="I20" s="65" t="n"/>
      <c r="J20" s="65" t="n"/>
      <c r="K20" s="65" t="n"/>
      <c r="L20" s="65" t="n"/>
      <c r="M20" s="65" t="n"/>
      <c r="N20" s="65" t="n"/>
      <c r="O20" s="66" t="n"/>
    </row>
    <row r="21" hidden="1">
      <c r="A21" s="8" t="n"/>
      <c r="B21" s="12" t="n">
        <v>44760</v>
      </c>
      <c r="C21" s="17" t="n"/>
      <c r="D21" s="17" t="n"/>
      <c r="E21" s="18" t="n"/>
      <c r="F21" s="17" t="n"/>
      <c r="G21" s="18" t="n"/>
      <c r="H21" s="17" t="n"/>
      <c r="I21" s="33" t="n"/>
      <c r="J21" s="17" t="n"/>
      <c r="K21" s="33" t="n"/>
      <c r="L21" s="34" t="n"/>
      <c r="M21" s="34" t="n"/>
      <c r="N21" s="17" t="n"/>
      <c r="O21" s="19" t="n"/>
    </row>
    <row r="22" hidden="1">
      <c r="A22" s="8" t="n"/>
      <c r="B22" s="12" t="n">
        <v>44761</v>
      </c>
      <c r="C22" s="17" t="n"/>
      <c r="D22" s="17" t="n"/>
      <c r="E22" s="18" t="n"/>
      <c r="F22" s="17" t="n"/>
      <c r="G22" s="18" t="n"/>
      <c r="H22" s="17" t="n"/>
      <c r="I22" s="33" t="n"/>
      <c r="J22" s="17" t="n"/>
      <c r="K22" s="33" t="n"/>
      <c r="L22" s="34" t="n"/>
      <c r="M22" s="34" t="n"/>
      <c r="N22" s="17" t="n"/>
      <c r="O22" s="19" t="n"/>
    </row>
    <row r="23" hidden="1">
      <c r="A23" s="8" t="n"/>
      <c r="B23" s="12" t="n">
        <v>44762</v>
      </c>
      <c r="C23" s="17" t="n"/>
      <c r="D23" s="17" t="n"/>
      <c r="E23" s="18" t="n"/>
      <c r="F23" s="17" t="n"/>
      <c r="G23" s="18" t="n"/>
      <c r="H23" s="17" t="n"/>
      <c r="I23" s="33" t="n"/>
      <c r="J23" s="17" t="n"/>
      <c r="K23" s="33" t="n"/>
      <c r="L23" s="34" t="n"/>
      <c r="M23" s="34" t="n"/>
      <c r="N23" s="17" t="n"/>
      <c r="O23" s="19" t="n"/>
    </row>
    <row r="24" hidden="1">
      <c r="A24" s="8" t="n"/>
      <c r="B24" s="12" t="n">
        <v>44763</v>
      </c>
      <c r="C24" s="17" t="n"/>
      <c r="D24" s="17" t="n"/>
      <c r="E24" s="18" t="n"/>
      <c r="F24" s="17" t="n"/>
      <c r="G24" s="18" t="n"/>
      <c r="H24" s="17" t="n"/>
      <c r="I24" s="33" t="n"/>
      <c r="J24" s="17" t="n"/>
      <c r="K24" s="33" t="n"/>
      <c r="L24" s="34" t="n"/>
      <c r="M24" s="34" t="n"/>
      <c r="N24" s="17" t="n"/>
      <c r="O24" s="19" t="n"/>
    </row>
    <row r="25" hidden="1">
      <c r="A25" s="8" t="n"/>
      <c r="B25" s="12" t="n">
        <v>44764</v>
      </c>
      <c r="C25" s="17" t="n"/>
      <c r="D25" s="17" t="n"/>
      <c r="E25" s="18" t="n"/>
      <c r="F25" s="17" t="n"/>
      <c r="G25" s="18" t="n"/>
      <c r="H25" s="17" t="n"/>
      <c r="I25" s="33" t="n"/>
      <c r="J25" s="17" t="n"/>
      <c r="K25" s="33" t="n"/>
      <c r="L25" s="34" t="n"/>
      <c r="M25" s="34" t="n"/>
      <c r="N25" s="17" t="n"/>
      <c r="O25" s="19" t="n"/>
    </row>
    <row r="26" hidden="1">
      <c r="A26" s="8" t="n"/>
      <c r="B26" s="12" t="n">
        <v>44765</v>
      </c>
      <c r="C26" s="17" t="n"/>
      <c r="D26" s="17" t="n"/>
      <c r="E26" s="18" t="n"/>
      <c r="F26" s="17" t="n"/>
      <c r="G26" s="18" t="n"/>
      <c r="H26" s="17" t="n"/>
      <c r="I26" s="33" t="n"/>
      <c r="J26" s="17" t="n"/>
      <c r="K26" s="33" t="n"/>
      <c r="L26" s="34" t="n"/>
      <c r="M26" s="34" t="n"/>
      <c r="N26" s="17" t="n"/>
      <c r="O26" s="19" t="n"/>
    </row>
    <row r="27" hidden="1">
      <c r="A27" s="8" t="n"/>
      <c r="B27" s="64" t="inlineStr">
        <is>
          <t>Domingo</t>
        </is>
      </c>
      <c r="C27" s="65" t="n"/>
      <c r="D27" s="65" t="n"/>
      <c r="E27" s="65" t="n"/>
      <c r="F27" s="65" t="n"/>
      <c r="G27" s="65" t="n"/>
      <c r="H27" s="65" t="n"/>
      <c r="I27" s="65" t="n"/>
      <c r="J27" s="65" t="n"/>
      <c r="K27" s="65" t="n"/>
      <c r="L27" s="65" t="n"/>
      <c r="M27" s="65" t="n"/>
      <c r="N27" s="65" t="n"/>
      <c r="O27" s="66" t="n"/>
    </row>
    <row r="28" hidden="1">
      <c r="B28" s="12" t="n">
        <v>44767</v>
      </c>
      <c r="C28" s="17" t="n"/>
      <c r="D28" s="17" t="n"/>
      <c r="E28" s="18" t="n"/>
      <c r="F28" s="17" t="n"/>
      <c r="G28" s="18" t="n"/>
      <c r="H28" s="17" t="n"/>
      <c r="I28" s="17" t="n"/>
      <c r="J28" s="17" t="n"/>
      <c r="K28" s="17" t="n"/>
      <c r="L28" s="17" t="n"/>
      <c r="M28" s="17" t="n"/>
      <c r="N28" s="17" t="n"/>
      <c r="O28" s="19" t="n"/>
    </row>
    <row r="29" hidden="1">
      <c r="B29" s="12" t="n">
        <v>44768</v>
      </c>
      <c r="C29" s="17" t="n"/>
      <c r="D29" s="17" t="n"/>
      <c r="E29" s="18" t="n"/>
      <c r="F29" s="17" t="n"/>
      <c r="G29" s="18" t="n"/>
      <c r="H29" s="17" t="n"/>
      <c r="I29" s="33" t="n"/>
      <c r="J29" s="17" t="n"/>
      <c r="K29" s="33" t="n"/>
      <c r="L29" s="34" t="n"/>
      <c r="M29" s="34" t="n"/>
      <c r="N29" s="17" t="n"/>
      <c r="O29" s="19" t="n"/>
    </row>
    <row r="30" hidden="1">
      <c r="B30" s="12" t="n">
        <v>44769</v>
      </c>
      <c r="C30" s="17" t="n"/>
      <c r="D30" s="17" t="n"/>
      <c r="E30" s="18" t="n"/>
      <c r="F30" s="17" t="n"/>
      <c r="G30" s="18" t="n"/>
      <c r="H30" s="17" t="n"/>
      <c r="I30" s="17" t="n"/>
      <c r="J30" s="17" t="n"/>
      <c r="K30" s="17" t="n"/>
      <c r="L30" s="17" t="n"/>
      <c r="M30" s="17" t="n"/>
      <c r="N30" s="17" t="n"/>
      <c r="O30" s="19" t="n"/>
    </row>
    <row r="31" hidden="1">
      <c r="B31" s="12" t="n">
        <v>44770</v>
      </c>
      <c r="C31" s="17" t="n"/>
      <c r="D31" s="17" t="n"/>
      <c r="E31" s="18" t="n"/>
      <c r="F31" s="17" t="n"/>
      <c r="G31" s="18" t="n"/>
      <c r="H31" s="17" t="n"/>
      <c r="I31" s="17" t="n"/>
      <c r="J31" s="17" t="n"/>
      <c r="K31" s="17" t="n"/>
      <c r="L31" s="17" t="n"/>
      <c r="M31" s="17" t="n"/>
      <c r="N31" s="17" t="n"/>
      <c r="O31" s="19" t="n"/>
    </row>
    <row r="32" hidden="1">
      <c r="B32" s="12" t="n">
        <v>44771</v>
      </c>
      <c r="C32" s="21" t="n"/>
      <c r="D32" s="21" t="n"/>
      <c r="E32" s="18" t="n"/>
      <c r="F32" s="21" t="n"/>
      <c r="G32" s="18" t="n"/>
      <c r="H32" s="21" t="n"/>
      <c r="I32" s="21" t="n"/>
      <c r="J32" s="21" t="n"/>
      <c r="K32" s="21" t="n"/>
      <c r="L32" s="21" t="n"/>
      <c r="M32" s="21" t="n"/>
      <c r="N32" s="21" t="n"/>
      <c r="O32" s="35" t="n"/>
    </row>
    <row r="33" hidden="1">
      <c r="B33" s="12" t="n">
        <v>44772</v>
      </c>
      <c r="C33" s="17" t="n"/>
      <c r="D33" s="17" t="n"/>
      <c r="E33" s="18" t="n"/>
      <c r="F33" s="17" t="n"/>
      <c r="G33" s="18" t="n"/>
      <c r="H33" s="17" t="n"/>
      <c r="I33" s="17" t="n"/>
      <c r="J33" s="17" t="n"/>
      <c r="K33" s="17" t="n"/>
      <c r="L33" s="17" t="n"/>
      <c r="M33" s="17" t="n"/>
      <c r="N33" s="17" t="n"/>
      <c r="O33" s="19" t="n"/>
    </row>
    <row r="34" ht="15.75" customHeight="1" thickBot="1">
      <c r="B34" s="64" t="n"/>
      <c r="C34" s="65" t="n"/>
      <c r="D34" s="65" t="n"/>
      <c r="E34" s="65" t="n"/>
      <c r="F34" s="65" t="n"/>
      <c r="G34" s="65" t="n"/>
      <c r="H34" s="65" t="n"/>
      <c r="I34" s="65" t="n"/>
      <c r="J34" s="65" t="n"/>
      <c r="K34" s="65" t="n"/>
      <c r="L34" s="65" t="n"/>
      <c r="M34" s="65" t="n"/>
      <c r="N34" s="65" t="n"/>
      <c r="O34" s="66" t="n"/>
    </row>
    <row r="35" ht="15.75" customHeight="1" thickBot="1">
      <c r="B35" s="46" t="inlineStr">
        <is>
          <t>MÉDIA</t>
        </is>
      </c>
      <c r="C35" s="47">
        <f>IFERROR(AVERAGE(C7:C12),0)</f>
        <v/>
      </c>
      <c r="D35" s="48">
        <f>IFERROR(AVERAGE(D7:D12),0)</f>
        <v/>
      </c>
      <c r="E35" s="49">
        <f>IFERROR(AVERAGE(E7:E12),0)</f>
        <v/>
      </c>
      <c r="F35" s="47">
        <f>IFERROR(AVERAGE(F7:F12),0)</f>
        <v/>
      </c>
      <c r="G35" s="49">
        <f>IFERROR(AVERAGE(G7:G12),0)</f>
        <v/>
      </c>
      <c r="H35" s="44">
        <f>IFERROR(AVERAGE(H4:H33),0)</f>
        <v/>
      </c>
      <c r="I35" s="23">
        <f>IFERROR(AVERAGE(I4:I33),0)</f>
        <v/>
      </c>
      <c r="J35" s="23">
        <f>IFERROR(AVERAGE(J4:J33),0)</f>
        <v/>
      </c>
      <c r="K35" s="23">
        <f>IFERROR(AVERAGE(K4:K33),0)</f>
        <v/>
      </c>
      <c r="L35" s="23">
        <f>IFERROR(AVERAGE(L4:L33),0)</f>
        <v/>
      </c>
      <c r="M35" s="39">
        <f>IFERROR(AVERAGE(M4:M33),0)</f>
        <v/>
      </c>
      <c r="N35" s="47">
        <f>IFERROR(AVERAGE(N7:N12),0)</f>
        <v/>
      </c>
      <c r="O35" s="42">
        <f>IFERROR(AVERAGE(O7:O12),0)</f>
        <v/>
      </c>
      <c r="T35" s="51" t="n"/>
      <c r="V35" s="51" t="n"/>
      <c r="X35" s="51" t="n"/>
      <c r="Z35" s="51" t="n"/>
      <c r="AA35" s="52" t="n"/>
      <c r="AB35" s="52" t="n"/>
      <c r="AD35" s="51" t="n"/>
    </row>
    <row r="36" ht="15.75" customHeight="1" thickBot="1">
      <c r="B36" s="46" t="inlineStr">
        <is>
          <t>SOMA</t>
        </is>
      </c>
      <c r="C36" s="45">
        <f>SUM(C7:C12)</f>
        <v/>
      </c>
      <c r="D36" s="43">
        <f>SUM(D7:D12)</f>
        <v/>
      </c>
      <c r="E36" s="40" t="n"/>
      <c r="F36" s="43">
        <f>SUM(F7:F12)</f>
        <v/>
      </c>
      <c r="G36" s="40" t="n"/>
      <c r="H36" s="29">
        <f>SUM(H4:H33)</f>
        <v/>
      </c>
      <c r="I36" s="36">
        <f>SUM(I4:I33)</f>
        <v/>
      </c>
      <c r="J36" s="28">
        <f>SUM(J4:J33)</f>
        <v/>
      </c>
      <c r="K36" s="37">
        <f>SUM(K4:K33)</f>
        <v/>
      </c>
      <c r="L36" s="38">
        <f>SUM(L4:L33)</f>
        <v/>
      </c>
      <c r="M36" s="41">
        <f>SUM(M4:M33)</f>
        <v/>
      </c>
      <c r="N36" s="43">
        <f>SUM(N7:N12)</f>
        <v/>
      </c>
      <c r="O36" s="50" t="n"/>
    </row>
  </sheetData>
  <mergeCells count="6">
    <mergeCell ref="B13:O13"/>
    <mergeCell ref="B20:O20"/>
    <mergeCell ref="B27:O27"/>
    <mergeCell ref="B34:O34"/>
    <mergeCell ref="B2:O2"/>
    <mergeCell ref="B6:O6"/>
  </mergeCells>
  <pageMargins left="0.511811024" right="0.511811024" top="0.787401575" bottom="0.787401575" header="0.31496062" footer="0.31496062"/>
  <pageSetup orientation="portrait" paperSize="9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Danielle Soares de Moura</dc:creator>
  <dcterms:created xmlns:dcterms="http://purl.org/dc/terms/" xmlns:xsi="http://www.w3.org/2001/XMLSchema-instance" xsi:type="dcterms:W3CDTF">2022-05-25T15:54:10Z</dcterms:created>
  <dcterms:modified xmlns:dcterms="http://purl.org/dc/terms/" xmlns:xsi="http://www.w3.org/2001/XMLSchema-instance" xsi:type="dcterms:W3CDTF">2022-11-07T18:45:33Z</dcterms:modified>
  <cp:lastModifiedBy>Rafael Vilela Figueiredo</cp:lastModifiedBy>
</cp:coreProperties>
</file>